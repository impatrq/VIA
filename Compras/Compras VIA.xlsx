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illa de compra" sheetId="1" r:id="rId4"/>
  </sheets>
  <definedNames/>
  <calcPr/>
</workbook>
</file>

<file path=xl/sharedStrings.xml><?xml version="1.0" encoding="utf-8"?>
<sst xmlns="http://schemas.openxmlformats.org/spreadsheetml/2006/main" count="115" uniqueCount="57">
  <si>
    <t>Planilla de compras Proyectos de 7mo Aviónica</t>
  </si>
  <si>
    <t>Nombre del Proyecto</t>
  </si>
  <si>
    <t>VIA</t>
  </si>
  <si>
    <t>Alumnos Responsables:</t>
  </si>
  <si>
    <t>AVIÓNICA</t>
  </si>
  <si>
    <t>Milovan Radakoff</t>
  </si>
  <si>
    <t>radakoff.milovan@gmail.com</t>
  </si>
  <si>
    <t>Matias Caram</t>
  </si>
  <si>
    <t>matias.rapero2007@gmail.com</t>
  </si>
  <si>
    <t>Item</t>
  </si>
  <si>
    <t>Cant.</t>
  </si>
  <si>
    <t>Nombre del producto</t>
  </si>
  <si>
    <t>Detalle del pedido</t>
  </si>
  <si>
    <t>Link:</t>
  </si>
  <si>
    <t>Precio por unidad</t>
  </si>
  <si>
    <t>Sub Total</t>
  </si>
  <si>
    <t>Fecha de solicitud</t>
  </si>
  <si>
    <t>Tutores</t>
  </si>
  <si>
    <t>Jefe de Área</t>
  </si>
  <si>
    <t>Cooperadora</t>
  </si>
  <si>
    <t>Aprobado</t>
  </si>
  <si>
    <t>Fecha de aprobación</t>
  </si>
  <si>
    <t>Estado</t>
  </si>
  <si>
    <t>Fecha de entrega</t>
  </si>
  <si>
    <t>Modulos con camaras ESP32 OV2640 de 2mp</t>
  </si>
  <si>
    <t>Lo necesitamos para procesar las señales enviadas por los ecptores opticos.</t>
  </si>
  <si>
    <r>
      <rPr>
        <rFont val="Arial"/>
        <color rgb="FF1155CC"/>
        <u/>
      </rPr>
      <t>https://tienda.starware.com.ar/producto/modulo-wifi-bt-camara-arduino-esp32-cam-ov2640-2mp/</t>
    </r>
  </si>
  <si>
    <t>VERDADERO</t>
  </si>
  <si>
    <t>Presupuestando</t>
  </si>
  <si>
    <t>Placa SBC raspberry PI 5 model B 8GB RAM</t>
  </si>
  <si>
    <t>Lo necesitamos para procesar, analizar y almacenar los datos que le proporcionamos.</t>
  </si>
  <si>
    <r>
      <rPr>
        <rFont val="Arial"/>
        <color rgb="FF1155CC"/>
        <u/>
      </rPr>
      <t>https://tienda.starware.com.ar/producto/placa-sbc-raspberry-pi-5-model-b-8gb-ram/</t>
    </r>
  </si>
  <si>
    <t>Sensor de proximidad DIY RCWL-0516 detector</t>
  </si>
  <si>
    <t>Lo necesitamos para detectar objetos con los que se podria golpear el no vidente</t>
  </si>
  <si>
    <r>
      <rPr>
        <rFont val="Arial"/>
        <color rgb="FF1155CC"/>
        <u/>
      </rPr>
      <t>https://tienda.starware.com.ar/producto/sensor-movimiento-proximidad-diy-rcwl-0516-detector-radar-doppler-microondas/</t>
    </r>
  </si>
  <si>
    <t>Capacitores de 1μf</t>
  </si>
  <si>
    <t>Para la conexión y funcionamiento del circuito de audio</t>
  </si>
  <si>
    <t>Capacitores ceramicos de 33μf</t>
  </si>
  <si>
    <t>Resistencias de 270 ohms</t>
  </si>
  <si>
    <t>Resistencias de 150 ohms</t>
  </si>
  <si>
    <t>Pack de cables pin arduino macho a hembra</t>
  </si>
  <si>
    <t>Es para conexiones varias</t>
  </si>
  <si>
    <t>Modulo amplificador audio starware PAM8403 5V</t>
  </si>
  <si>
    <t>Es para transformar y amplificar la señal de audio que proviene del aparato</t>
  </si>
  <si>
    <r>
      <rPr>
        <rFont val="Arial"/>
        <color rgb="FF1155CC"/>
        <u/>
      </rPr>
      <t>https://tienda.starware.com.ar/producto/modulo-amplificador-audio-starware-pam8403-5v-2ch-stereo-3w-con-volumen/</t>
    </r>
  </si>
  <si>
    <t>Adaptador de jack a pines arduino</t>
  </si>
  <si>
    <t>Lo vamos a usar para la conexión de tipo jack al circuito</t>
  </si>
  <si>
    <t>Sensor de proximidad</t>
  </si>
  <si>
    <t>Para detectar la profundidad de los objetos en un area</t>
  </si>
  <si>
    <t>batería de litio</t>
  </si>
  <si>
    <t>para alimetar los lentes</t>
  </si>
  <si>
    <t>se quemaron las 2 anteriores</t>
  </si>
  <si>
    <t>https://tienda.starware.com.ar/producto/modulo-wifi-bt-camara-arduino-esp32-cam-ov2640-2mp/</t>
  </si>
  <si>
    <t>termocontraible</t>
  </si>
  <si>
    <t>para aislar el circuito</t>
  </si>
  <si>
    <t>Total:</t>
  </si>
  <si>
    <t>Gastado: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</si>
</sst>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d/M/yyyy H:mm:ss"/>
  </numFmts>
  <fonts count="20">
    <font>
      <sz val="10.0"/>
      <color rgb="FF000000"/>
      <name val="Arial"/>
      <scheme val="minor"/>
    </font>
    <font>
      <color theme="1"/>
      <name val="Arial"/>
      <scheme val="minor"/>
    </font>
    <font>
      <b/>
      <sz val="31.0"/>
      <color theme="1"/>
      <name val="Arial"/>
      <scheme val="minor"/>
    </font>
    <font>
      <b/>
      <sz val="14.0"/>
      <color theme="1"/>
      <name val="Arial"/>
      <scheme val="minor"/>
    </font>
    <font/>
    <font>
      <b/>
      <sz val="51.0"/>
      <color theme="1"/>
      <name val="Arial"/>
      <scheme val="minor"/>
    </font>
    <font>
      <b/>
      <sz val="16.0"/>
      <color theme="1"/>
      <name val="Arial"/>
      <scheme val="minor"/>
    </font>
    <font>
      <b/>
      <sz val="40.0"/>
      <color theme="1"/>
      <name val="Arial"/>
      <scheme val="minor"/>
    </font>
    <font>
      <sz val="17.0"/>
      <color theme="1"/>
      <name val="Arial"/>
      <scheme val="minor"/>
    </font>
    <font>
      <b/>
      <sz val="18.0"/>
      <color theme="1"/>
      <name val="Arial"/>
      <scheme val="minor"/>
    </font>
    <font>
      <b/>
      <sz val="12.0"/>
      <color theme="1"/>
      <name val="Arial"/>
      <scheme val="minor"/>
    </font>
    <font>
      <b/>
      <color theme="1"/>
      <name val="Arial"/>
      <scheme val="minor"/>
    </font>
    <font>
      <sz val="14.0"/>
      <color theme="1"/>
      <name val="Arial"/>
      <scheme val="minor"/>
    </font>
    <font>
      <color rgb="FF000000"/>
      <name val="Arial"/>
    </font>
    <font>
      <u/>
      <color rgb="FF0000FF"/>
      <name val="Arial"/>
    </font>
    <font>
      <sz val="11.0"/>
      <color theme="1"/>
      <name val="Arial"/>
      <scheme val="minor"/>
    </font>
    <font>
      <u/>
      <color rgb="FF0000FF"/>
      <name val="Arial"/>
    </font>
    <font>
      <u/>
      <color rgb="FF1155CC"/>
      <name val="Arial"/>
    </font>
    <font>
      <u/>
      <color rgb="FF0000FF"/>
    </font>
    <font>
      <sz val="18.0"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</fills>
  <borders count="36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2" fillId="0" fontId="4" numFmtId="0" xfId="0" applyBorder="1" applyFont="1"/>
    <xf borderId="3" fillId="2" fontId="5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shrinkToFit="0" vertical="center" wrapText="0"/>
    </xf>
    <xf borderId="3" fillId="0" fontId="4" numFmtId="0" xfId="0" applyBorder="1" applyFont="1"/>
    <xf borderId="2" fillId="0" fontId="4" numFmtId="0" xfId="0" applyBorder="1" applyFont="1"/>
    <xf borderId="1" fillId="0" fontId="7" numFmtId="0" xfId="0" applyAlignment="1" applyBorder="1" applyFont="1">
      <alignment horizontal="center" readingOrder="0" vertical="center"/>
    </xf>
    <xf borderId="4" fillId="0" fontId="4" numFmtId="0" xfId="0" applyBorder="1" applyFont="1"/>
    <xf borderId="5" fillId="0" fontId="4" numFmtId="0" xfId="0" applyBorder="1" applyFont="1"/>
    <xf borderId="6" fillId="4" fontId="8" numFmtId="0" xfId="0" applyAlignment="1" applyBorder="1" applyFill="1" applyFont="1">
      <alignment horizontal="left" readingOrder="0" vertical="center"/>
    </xf>
    <xf borderId="7" fillId="0" fontId="4" numFmtId="0" xfId="0" applyBorder="1" applyFont="1"/>
    <xf borderId="6" fillId="0" fontId="1" numFmtId="0" xfId="0" applyAlignment="1" applyBorder="1" applyFont="1">
      <alignment horizontal="left" readingOrder="0" vertical="center"/>
    </xf>
    <xf borderId="8" fillId="0" fontId="4" numFmtId="0" xfId="0" applyBorder="1" applyFont="1"/>
    <xf borderId="9" fillId="0" fontId="4" numFmtId="0" xfId="0" applyBorder="1" applyFont="1"/>
    <xf borderId="10" fillId="0" fontId="4" numFmtId="0" xfId="0" applyBorder="1" applyFont="1"/>
    <xf borderId="11" fillId="4" fontId="8" numFmtId="0" xfId="0" applyAlignment="1" applyBorder="1" applyFont="1">
      <alignment horizontal="left" readingOrder="0" vertical="center"/>
    </xf>
    <xf borderId="12" fillId="0" fontId="4" numFmtId="0" xfId="0" applyBorder="1" applyFont="1"/>
    <xf borderId="11" fillId="0" fontId="1" numFmtId="0" xfId="0" applyAlignment="1" applyBorder="1" applyFont="1">
      <alignment horizontal="left" readingOrder="0" vertical="center"/>
    </xf>
    <xf borderId="13" fillId="5" fontId="9" numFmtId="0" xfId="0" applyAlignment="1" applyBorder="1" applyFill="1" applyFont="1">
      <alignment horizontal="center" readingOrder="0" vertical="center"/>
    </xf>
    <xf borderId="14" fillId="0" fontId="4" numFmtId="0" xfId="0" applyBorder="1" applyFont="1"/>
    <xf borderId="15" fillId="0" fontId="4" numFmtId="0" xfId="0" applyBorder="1" applyFont="1"/>
    <xf borderId="16" fillId="6" fontId="3" numFmtId="0" xfId="0" applyAlignment="1" applyBorder="1" applyFill="1" applyFont="1">
      <alignment horizontal="center" readingOrder="0" vertical="center"/>
    </xf>
    <xf borderId="1" fillId="6" fontId="3" numFmtId="0" xfId="0" applyAlignment="1" applyBorder="1" applyFont="1">
      <alignment horizontal="center" readingOrder="0" vertical="center"/>
    </xf>
    <xf borderId="16" fillId="6" fontId="9" numFmtId="0" xfId="0" applyAlignment="1" applyBorder="1" applyFont="1">
      <alignment horizontal="center" readingOrder="0" vertical="center"/>
    </xf>
    <xf borderId="3" fillId="6" fontId="9" numFmtId="0" xfId="0" applyAlignment="1" applyBorder="1" applyFont="1">
      <alignment horizontal="center" readingOrder="0" vertical="center"/>
    </xf>
    <xf borderId="1" fillId="6" fontId="3" numFmtId="0" xfId="0" applyAlignment="1" applyBorder="1" applyFont="1">
      <alignment horizontal="center" readingOrder="0" shrinkToFit="0" vertical="center" wrapText="1"/>
    </xf>
    <xf borderId="16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5" fillId="6" fontId="10" numFmtId="0" xfId="0" applyAlignment="1" applyBorder="1" applyFont="1">
      <alignment horizontal="center" readingOrder="0" shrinkToFit="0" vertical="center" wrapText="1"/>
    </xf>
    <xf borderId="4" fillId="7" fontId="10" numFmtId="0" xfId="0" applyAlignment="1" applyBorder="1" applyFill="1" applyFont="1">
      <alignment horizontal="center" readingOrder="0" shrinkToFit="0" vertical="center" wrapText="1"/>
    </xf>
    <xf borderId="4" fillId="8" fontId="10" numFmtId="0" xfId="0" applyAlignment="1" applyBorder="1" applyFill="1" applyFont="1">
      <alignment horizontal="center" readingOrder="0" shrinkToFit="0" vertical="center" wrapText="1"/>
    </xf>
    <xf borderId="8" fillId="3" fontId="3" numFmtId="0" xfId="0" applyAlignment="1" applyBorder="1" applyFont="1">
      <alignment horizontal="center" readingOrder="0" vertical="center"/>
    </xf>
    <xf borderId="10" fillId="0" fontId="4" numFmtId="0" xfId="0" applyBorder="1" applyFont="1"/>
    <xf borderId="17" fillId="0" fontId="4" numFmtId="0" xfId="0" applyBorder="1" applyFont="1"/>
    <xf borderId="17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16" fillId="7" fontId="10" numFmtId="0" xfId="0" applyAlignment="1" applyBorder="1" applyFont="1">
      <alignment horizontal="center" readingOrder="0" shrinkToFit="0" vertical="center" wrapText="1"/>
    </xf>
    <xf borderId="3" fillId="7" fontId="10" numFmtId="0" xfId="0" applyAlignment="1" applyBorder="1" applyFont="1">
      <alignment horizontal="center" readingOrder="0" shrinkToFit="0" vertical="center" wrapText="1"/>
    </xf>
    <xf borderId="1" fillId="8" fontId="10" numFmtId="0" xfId="0" applyAlignment="1" applyBorder="1" applyFont="1">
      <alignment horizontal="center" readingOrder="0" shrinkToFit="0" vertical="center" wrapText="1"/>
    </xf>
    <xf borderId="16" fillId="8" fontId="10" numFmtId="0" xfId="0" applyAlignment="1" applyBorder="1" applyFont="1">
      <alignment horizontal="center" readingOrder="0" shrinkToFit="0" vertical="center" wrapText="1"/>
    </xf>
    <xf borderId="2" fillId="3" fontId="11" numFmtId="0" xfId="0" applyAlignment="1" applyBorder="1" applyFont="1">
      <alignment horizontal="center" readingOrder="0" vertical="center"/>
    </xf>
    <xf borderId="16" fillId="3" fontId="11" numFmtId="0" xfId="0" applyAlignment="1" applyBorder="1" applyFont="1">
      <alignment horizontal="center" readingOrder="0" shrinkToFit="0" vertical="center" wrapText="1"/>
    </xf>
    <xf borderId="18" fillId="0" fontId="4" numFmtId="0" xfId="0" applyBorder="1" applyFont="1"/>
    <xf borderId="8" fillId="0" fontId="4" numFmtId="0" xfId="0" applyBorder="1" applyFont="1"/>
    <xf borderId="18" fillId="0" fontId="4" numFmtId="0" xfId="0" applyBorder="1" applyFont="1"/>
    <xf borderId="9" fillId="0" fontId="4" numFmtId="0" xfId="0" applyBorder="1" applyFont="1"/>
    <xf borderId="18" fillId="0" fontId="4" numFmtId="0" xfId="0" applyBorder="1" applyFont="1"/>
    <xf borderId="0" fillId="0" fontId="12" numFmtId="0" xfId="0" applyFont="1"/>
    <xf borderId="19" fillId="0" fontId="1" numFmtId="0" xfId="0" applyAlignment="1" applyBorder="1" applyFont="1">
      <alignment horizontal="center" readingOrder="0" vertical="center"/>
    </xf>
    <xf borderId="20" fillId="0" fontId="13" numFmtId="0" xfId="0" applyAlignment="1" applyBorder="1" applyFont="1">
      <alignment horizontal="right" readingOrder="0" shrinkToFit="0" wrapText="0"/>
    </xf>
    <xf borderId="21" fillId="0" fontId="13" numFmtId="0" xfId="0" applyAlignment="1" applyBorder="1" applyFont="1">
      <alignment readingOrder="0" shrinkToFit="0" wrapText="0"/>
    </xf>
    <xf borderId="7" fillId="0" fontId="13" numFmtId="0" xfId="0" applyAlignment="1" applyBorder="1" applyFont="1">
      <alignment readingOrder="0"/>
    </xf>
    <xf borderId="20" fillId="0" fontId="14" numFmtId="0" xfId="0" applyAlignment="1" applyBorder="1" applyFont="1">
      <alignment readingOrder="0"/>
    </xf>
    <xf borderId="22" fillId="0" fontId="4" numFmtId="0" xfId="0" applyBorder="1" applyFont="1"/>
    <xf borderId="7" fillId="0" fontId="13" numFmtId="164" xfId="0" applyAlignment="1" applyBorder="1" applyFont="1" applyNumberFormat="1">
      <alignment horizontal="right" readingOrder="0"/>
    </xf>
    <xf borderId="23" fillId="0" fontId="1" numFmtId="164" xfId="0" applyAlignment="1" applyBorder="1" applyFont="1" applyNumberFormat="1">
      <alignment vertical="center"/>
    </xf>
    <xf borderId="19" fillId="0" fontId="1" numFmtId="165" xfId="0" applyAlignment="1" applyBorder="1" applyFont="1" applyNumberFormat="1">
      <alignment vertical="center"/>
    </xf>
    <xf borderId="19" fillId="0" fontId="1" numFmtId="0" xfId="0" applyAlignment="1" applyBorder="1" applyFont="1">
      <alignment readingOrder="0" vertical="center"/>
    </xf>
    <xf borderId="24" fillId="0" fontId="1" numFmtId="165" xfId="0" applyAlignment="1" applyBorder="1" applyFont="1" applyNumberFormat="1">
      <alignment vertical="center"/>
    </xf>
    <xf borderId="23" fillId="0" fontId="1" numFmtId="0" xfId="0" applyAlignment="1" applyBorder="1" applyFont="1">
      <alignment horizontal="center" readingOrder="0" vertical="center"/>
    </xf>
    <xf borderId="25" fillId="0" fontId="1" numFmtId="165" xfId="0" applyAlignment="1" applyBorder="1" applyFont="1" applyNumberFormat="1">
      <alignment vertical="center"/>
    </xf>
    <xf borderId="19" fillId="3" fontId="15" numFmtId="0" xfId="0" applyAlignment="1" applyBorder="1" applyFont="1">
      <alignment readingOrder="0" vertical="center"/>
    </xf>
    <xf borderId="26" fillId="3" fontId="1" numFmtId="165" xfId="0" applyAlignment="1" applyBorder="1" applyFont="1" applyNumberFormat="1">
      <alignment vertical="center"/>
    </xf>
    <xf borderId="0" fillId="0" fontId="1" numFmtId="0" xfId="0" applyAlignment="1" applyFont="1">
      <alignment vertical="center"/>
    </xf>
    <xf borderId="27" fillId="0" fontId="1" numFmtId="0" xfId="0" applyAlignment="1" applyBorder="1" applyFont="1">
      <alignment horizontal="center" vertical="center"/>
    </xf>
    <xf borderId="23" fillId="0" fontId="13" numFmtId="0" xfId="0" applyAlignment="1" applyBorder="1" applyFont="1">
      <alignment horizontal="right" readingOrder="0" shrinkToFit="0" wrapText="0"/>
    </xf>
    <xf borderId="28" fillId="0" fontId="13" numFmtId="0" xfId="0" applyAlignment="1" applyBorder="1" applyFont="1">
      <alignment readingOrder="0" shrinkToFit="0" wrapText="0"/>
    </xf>
    <xf borderId="29" fillId="0" fontId="13" numFmtId="0" xfId="0" applyAlignment="1" applyBorder="1" applyFont="1">
      <alignment readingOrder="0" shrinkToFit="0" wrapText="0"/>
    </xf>
    <xf borderId="0" fillId="0" fontId="16" numFmtId="0" xfId="0" applyAlignment="1" applyFont="1">
      <alignment readingOrder="0"/>
    </xf>
    <xf borderId="29" fillId="0" fontId="13" numFmtId="164" xfId="0" applyAlignment="1" applyBorder="1" applyFont="1" applyNumberFormat="1">
      <alignment horizontal="right" readingOrder="0"/>
    </xf>
    <xf borderId="24" fillId="0" fontId="1" numFmtId="0" xfId="0" applyAlignment="1" applyBorder="1" applyFont="1">
      <alignment readingOrder="0" vertical="center"/>
    </xf>
    <xf borderId="30" fillId="0" fontId="1" numFmtId="165" xfId="0" applyAlignment="1" applyBorder="1" applyFont="1" applyNumberFormat="1">
      <alignment vertical="center"/>
    </xf>
    <xf borderId="27" fillId="3" fontId="15" numFmtId="0" xfId="0" applyAlignment="1" applyBorder="1" applyFont="1">
      <alignment readingOrder="0" vertical="center"/>
    </xf>
    <xf borderId="22" fillId="3" fontId="1" numFmtId="165" xfId="0" applyAlignment="1" applyBorder="1" applyFont="1" applyNumberFormat="1">
      <alignment vertical="center"/>
    </xf>
    <xf borderId="20" fillId="0" fontId="17" numFmtId="0" xfId="0" applyBorder="1" applyFont="1"/>
    <xf borderId="0" fillId="0" fontId="13" numFmtId="0" xfId="0" applyAlignment="1" applyFont="1">
      <alignment shrinkToFit="0" wrapText="0"/>
    </xf>
    <xf borderId="28" fillId="0" fontId="13" numFmtId="164" xfId="0" applyAlignment="1" applyBorder="1" applyFont="1" applyNumberFormat="1">
      <alignment horizontal="right" readingOrder="0"/>
    </xf>
    <xf borderId="20" fillId="0" fontId="13" numFmtId="0" xfId="0" applyBorder="1" applyFont="1"/>
    <xf borderId="7" fillId="0" fontId="13" numFmtId="0" xfId="0" applyBorder="1" applyFont="1"/>
    <xf borderId="20" fillId="0" fontId="1" numFmtId="0" xfId="0" applyAlignment="1" applyBorder="1" applyFont="1">
      <alignment readingOrder="0" vertical="center"/>
    </xf>
    <xf borderId="27" fillId="0" fontId="1" numFmtId="0" xfId="0" applyAlignment="1" applyBorder="1" applyFont="1">
      <alignment readingOrder="0" vertical="center"/>
    </xf>
    <xf borderId="0" fillId="0" fontId="1" numFmtId="0" xfId="0" applyAlignment="1" applyFont="1">
      <alignment readingOrder="0" vertical="center"/>
    </xf>
    <xf borderId="27" fillId="0" fontId="1" numFmtId="164" xfId="0" applyAlignment="1" applyBorder="1" applyFont="1" applyNumberFormat="1">
      <alignment readingOrder="0" shrinkToFit="0" vertical="center" wrapText="1"/>
    </xf>
    <xf borderId="30" fillId="0" fontId="1" numFmtId="0" xfId="0" applyAlignment="1" applyBorder="1" applyFont="1">
      <alignment readingOrder="0" shrinkToFit="0" vertical="center" wrapText="1"/>
    </xf>
    <xf borderId="30" fillId="0" fontId="18" numFmtId="0" xfId="0" applyAlignment="1" applyBorder="1" applyFont="1">
      <alignment readingOrder="0" shrinkToFit="0" vertical="center" wrapText="1"/>
    </xf>
    <xf borderId="23" fillId="0" fontId="1" numFmtId="0" xfId="0" applyAlignment="1" applyBorder="1" applyFont="1">
      <alignment horizontal="center" vertical="center"/>
    </xf>
    <xf borderId="22" fillId="0" fontId="1" numFmtId="0" xfId="0" applyAlignment="1" applyBorder="1" applyFont="1">
      <alignment shrinkToFit="0" vertical="center" wrapText="1"/>
    </xf>
    <xf borderId="27" fillId="0" fontId="1" numFmtId="164" xfId="0" applyAlignment="1" applyBorder="1" applyFont="1" applyNumberFormat="1">
      <alignment shrinkToFit="0" vertical="center" wrapText="1"/>
    </xf>
    <xf borderId="22" fillId="0" fontId="1" numFmtId="0" xfId="0" applyAlignment="1" applyBorder="1" applyFont="1">
      <alignment readingOrder="0" shrinkToFit="0" vertical="center" wrapText="1"/>
    </xf>
    <xf borderId="30" fillId="0" fontId="1" numFmtId="0" xfId="0" applyAlignment="1" applyBorder="1" applyFont="1">
      <alignment shrinkToFit="0" vertical="center" wrapText="1"/>
    </xf>
    <xf borderId="27" fillId="0" fontId="1" numFmtId="0" xfId="0" applyAlignment="1" applyBorder="1" applyFont="1">
      <alignment vertical="center"/>
    </xf>
    <xf borderId="31" fillId="0" fontId="1" numFmtId="0" xfId="0" applyAlignment="1" applyBorder="1" applyFont="1">
      <alignment horizontal="center" vertical="center"/>
    </xf>
    <xf borderId="32" fillId="0" fontId="1" numFmtId="0" xfId="0" applyAlignment="1" applyBorder="1" applyFont="1">
      <alignment readingOrder="0" vertical="center"/>
    </xf>
    <xf borderId="31" fillId="0" fontId="1" numFmtId="0" xfId="0" applyAlignment="1" applyBorder="1" applyFont="1">
      <alignment readingOrder="0" vertical="center"/>
    </xf>
    <xf borderId="31" fillId="0" fontId="1" numFmtId="0" xfId="0" applyAlignment="1" applyBorder="1" applyFont="1">
      <alignment vertical="center"/>
    </xf>
    <xf borderId="33" fillId="0" fontId="1" numFmtId="0" xfId="0" applyAlignment="1" applyBorder="1" applyFont="1">
      <alignment shrinkToFit="0" vertical="center" wrapText="1"/>
    </xf>
    <xf borderId="34" fillId="0" fontId="4" numFmtId="0" xfId="0" applyBorder="1" applyFont="1"/>
    <xf borderId="31" fillId="0" fontId="1" numFmtId="164" xfId="0" applyAlignment="1" applyBorder="1" applyFont="1" applyNumberFormat="1">
      <alignment readingOrder="0" shrinkToFit="0" vertical="center" wrapText="1"/>
    </xf>
    <xf borderId="18" fillId="0" fontId="1" numFmtId="165" xfId="0" applyAlignment="1" applyBorder="1" applyFont="1" applyNumberFormat="1">
      <alignment vertical="center"/>
    </xf>
    <xf borderId="18" fillId="0" fontId="1" numFmtId="0" xfId="0" applyAlignment="1" applyBorder="1" applyFont="1">
      <alignment readingOrder="0" vertical="center"/>
    </xf>
    <xf borderId="9" fillId="0" fontId="1" numFmtId="0" xfId="0" applyAlignment="1" applyBorder="1" applyFont="1">
      <alignment horizontal="center" vertical="center"/>
    </xf>
    <xf borderId="33" fillId="0" fontId="1" numFmtId="165" xfId="0" applyAlignment="1" applyBorder="1" applyFont="1" applyNumberFormat="1">
      <alignment vertical="center"/>
    </xf>
    <xf borderId="31" fillId="3" fontId="15" numFmtId="0" xfId="0" applyAlignment="1" applyBorder="1" applyFont="1">
      <alignment readingOrder="0" vertical="center"/>
    </xf>
    <xf borderId="34" fillId="3" fontId="1" numFmtId="165" xfId="0" applyAlignment="1" applyBorder="1" applyFont="1" applyNumberFormat="1">
      <alignment vertical="center"/>
    </xf>
    <xf borderId="18" fillId="0" fontId="3" numFmtId="0" xfId="0" applyAlignment="1" applyBorder="1" applyFont="1">
      <alignment horizontal="center" readingOrder="0" vertical="center"/>
    </xf>
    <xf borderId="35" fillId="0" fontId="8" numFmtId="164" xfId="0" applyAlignment="1" applyBorder="1" applyFont="1" applyNumberFormat="1">
      <alignment horizontal="center" vertical="center"/>
    </xf>
    <xf borderId="0" fillId="0" fontId="19" numFmtId="0" xfId="0" applyAlignment="1" applyFont="1">
      <alignment horizontal="center" vertical="center"/>
    </xf>
    <xf borderId="0" fillId="0" fontId="19" numFmtId="0" xfId="0" applyAlignment="1" applyFont="1">
      <alignment horizontal="center" readingOrder="0" vertical="center"/>
    </xf>
    <xf borderId="0" fillId="0" fontId="12" numFmtId="164" xfId="0" applyFont="1" applyNumberFormat="1"/>
    <xf borderId="4" fillId="0" fontId="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133350</xdr:colOff>
      <xdr:row>3</xdr:row>
      <xdr:rowOff>57150</xdr:rowOff>
    </xdr:from>
    <xdr:ext cx="828675" cy="504825"/>
    <xdr:grpSp>
      <xdr:nvGrpSpPr>
        <xdr:cNvPr id="2" name="Shape 2" title="Dibujo"/>
        <xdr:cNvGrpSpPr/>
      </xdr:nvGrpSpPr>
      <xdr:grpSpPr>
        <a:xfrm>
          <a:off x="2065500" y="735600"/>
          <a:ext cx="1744625" cy="1035300"/>
          <a:chOff x="2065500" y="735600"/>
          <a:chExt cx="1744625" cy="1035300"/>
        </a:xfrm>
      </xdr:grpSpPr>
      <xdr:sp>
        <xdr:nvSpPr>
          <xdr:cNvPr id="3" name="Shape 3"/>
          <xdr:cNvSpPr/>
        </xdr:nvSpPr>
        <xdr:spPr>
          <a:xfrm>
            <a:off x="2065500" y="735600"/>
            <a:ext cx="1744500" cy="1035300"/>
          </a:xfrm>
          <a:prstGeom prst="roundRect">
            <a:avLst>
              <a:gd fmla="val 16667" name="adj"/>
            </a:avLst>
          </a:prstGeom>
          <a:solidFill>
            <a:srgbClr val="B6D7A8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2440975" y="1182250"/>
            <a:ext cx="40500" cy="306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5" name="Shape 5"/>
          <xdr:cNvSpPr txBox="1"/>
        </xdr:nvSpPr>
        <xdr:spPr>
          <a:xfrm>
            <a:off x="2065625" y="782850"/>
            <a:ext cx="1744500" cy="6156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Actualización de Estado</a:t>
            </a:r>
            <a:endParaRPr sz="1400"/>
          </a:p>
        </xdr:txBody>
      </xdr:sp>
    </xdr:grp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ienda.starware.com.ar/producto/modulo-wifi-bt-camara-arduino-esp32-cam-ov2640-2mp/" TargetMode="External"/><Relationship Id="rId2" Type="http://schemas.openxmlformats.org/officeDocument/2006/relationships/hyperlink" Target="https://tienda.starware.com.ar/producto/placa-sbc-raspberry-pi-5-model-b-8gb-ram/" TargetMode="External"/><Relationship Id="rId3" Type="http://schemas.openxmlformats.org/officeDocument/2006/relationships/hyperlink" Target="https://tienda.starware.com.ar/producto/sensor-movimiento-proximidad-diy-rcwl-0516-detector-radar-doppler-microondas/" TargetMode="External"/><Relationship Id="rId4" Type="http://schemas.openxmlformats.org/officeDocument/2006/relationships/hyperlink" Target="https://tienda.starware.com.ar/producto/modulo-amplificador-audio-starware-pam8403-5v-2ch-stereo-3w-con-volumen/" TargetMode="External"/><Relationship Id="rId5" Type="http://schemas.openxmlformats.org/officeDocument/2006/relationships/hyperlink" Target="https://tienda.starware.com.ar/producto/modulo-wifi-bt-camara-arduino-esp32-cam-ov2640-2mp/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5.75"/>
    <col customWidth="1" min="3" max="3" width="40.63"/>
    <col customWidth="1" min="4" max="4" width="74.25"/>
    <col customWidth="1" min="6" max="6" width="37.0"/>
    <col customWidth="1" min="8" max="8" width="16.88"/>
    <col customWidth="1" min="9" max="9" width="16.38"/>
    <col customWidth="1" min="11" max="11" width="15.38"/>
    <col customWidth="1" min="13" max="13" width="15.63"/>
    <col customWidth="1" min="15" max="15" width="14.5"/>
  </cols>
  <sheetData>
    <row r="1">
      <c r="A1" s="1"/>
    </row>
    <row r="2">
      <c r="A2" s="2" t="s">
        <v>0</v>
      </c>
    </row>
    <row r="3" ht="15.0" customHeight="1">
      <c r="A3" s="1"/>
    </row>
    <row r="4" ht="24.0" customHeight="1">
      <c r="A4" s="3" t="s">
        <v>1</v>
      </c>
      <c r="B4" s="4"/>
      <c r="C4" s="5" t="s">
        <v>2</v>
      </c>
      <c r="D4" s="4"/>
      <c r="E4" s="6" t="s">
        <v>3</v>
      </c>
      <c r="F4" s="7"/>
      <c r="G4" s="7"/>
      <c r="H4" s="8"/>
      <c r="I4" s="9" t="s">
        <v>4</v>
      </c>
      <c r="J4" s="7"/>
      <c r="K4" s="7"/>
      <c r="L4" s="7"/>
      <c r="M4" s="7"/>
      <c r="N4" s="7"/>
      <c r="O4" s="8"/>
    </row>
    <row r="5" ht="24.0" customHeight="1">
      <c r="A5" s="10"/>
      <c r="B5" s="11"/>
      <c r="D5" s="11"/>
      <c r="E5" s="12" t="s">
        <v>5</v>
      </c>
      <c r="F5" s="13"/>
      <c r="G5" s="14" t="s">
        <v>6</v>
      </c>
      <c r="H5" s="13"/>
      <c r="I5" s="15"/>
      <c r="J5" s="16"/>
      <c r="K5" s="16"/>
      <c r="L5" s="16"/>
      <c r="M5" s="16"/>
      <c r="N5" s="16"/>
      <c r="O5" s="17"/>
    </row>
    <row r="6" ht="24.0" customHeight="1">
      <c r="A6" s="10"/>
      <c r="B6" s="11"/>
      <c r="D6" s="11"/>
      <c r="E6" s="18" t="s">
        <v>7</v>
      </c>
      <c r="F6" s="19"/>
      <c r="G6" s="20" t="s">
        <v>8</v>
      </c>
      <c r="H6" s="19"/>
      <c r="I6" s="21"/>
      <c r="J6" s="22"/>
      <c r="K6" s="22"/>
      <c r="L6" s="22"/>
      <c r="M6" s="22"/>
      <c r="N6" s="22"/>
      <c r="O6" s="23"/>
    </row>
    <row r="7" ht="19.5" customHeight="1">
      <c r="A7" s="24" t="s">
        <v>9</v>
      </c>
      <c r="B7" s="25" t="s">
        <v>10</v>
      </c>
      <c r="C7" s="26" t="s">
        <v>11</v>
      </c>
      <c r="D7" s="27" t="s">
        <v>12</v>
      </c>
      <c r="E7" s="28" t="s">
        <v>13</v>
      </c>
      <c r="F7" s="7"/>
      <c r="G7" s="29" t="s">
        <v>14</v>
      </c>
      <c r="H7" s="30" t="s">
        <v>15</v>
      </c>
      <c r="I7" s="31" t="s">
        <v>16</v>
      </c>
      <c r="J7" s="32" t="s">
        <v>17</v>
      </c>
      <c r="K7" s="11"/>
      <c r="L7" s="33" t="s">
        <v>18</v>
      </c>
      <c r="M7" s="11"/>
      <c r="N7" s="34" t="s">
        <v>19</v>
      </c>
      <c r="O7" s="35"/>
    </row>
    <row r="8" ht="19.5" customHeight="1">
      <c r="A8" s="36"/>
      <c r="B8" s="10"/>
      <c r="C8" s="37"/>
      <c r="E8" s="38"/>
      <c r="G8" s="37"/>
      <c r="H8" s="39"/>
      <c r="I8" s="11"/>
      <c r="J8" s="40" t="s">
        <v>20</v>
      </c>
      <c r="K8" s="41" t="s">
        <v>21</v>
      </c>
      <c r="L8" s="42" t="s">
        <v>20</v>
      </c>
      <c r="M8" s="43" t="s">
        <v>21</v>
      </c>
      <c r="N8" s="44" t="s">
        <v>22</v>
      </c>
      <c r="O8" s="45" t="s">
        <v>23</v>
      </c>
    </row>
    <row r="9" ht="19.5" customHeight="1">
      <c r="A9" s="46"/>
      <c r="B9" s="47"/>
      <c r="C9" s="48"/>
      <c r="D9" s="49"/>
      <c r="E9" s="15"/>
      <c r="F9" s="16"/>
      <c r="G9" s="50"/>
      <c r="H9" s="17"/>
      <c r="I9" s="35"/>
      <c r="J9" s="50"/>
      <c r="K9" s="16"/>
      <c r="L9" s="15"/>
      <c r="M9" s="50"/>
      <c r="N9" s="35"/>
      <c r="O9" s="46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</row>
    <row r="10">
      <c r="A10" s="52">
        <v>1.0</v>
      </c>
      <c r="B10" s="53">
        <v>2.0</v>
      </c>
      <c r="C10" s="54" t="s">
        <v>24</v>
      </c>
      <c r="D10" s="55" t="s">
        <v>25</v>
      </c>
      <c r="E10" s="56" t="s">
        <v>26</v>
      </c>
      <c r="F10" s="57"/>
      <c r="G10" s="58">
        <v>14739.0</v>
      </c>
      <c r="H10" s="59">
        <f t="shared" ref="H10:H39" si="1">G10*B10</f>
        <v>29478</v>
      </c>
      <c r="I10" s="60">
        <f t="shared" ref="I10:I39" si="2">IFS(C10="","",I10&lt;&gt;"",I10,TRUE,NOW())</f>
        <v>45827.59892</v>
      </c>
      <c r="J10" s="61" t="s">
        <v>27</v>
      </c>
      <c r="K10" s="62">
        <f t="shared" ref="K10:K39" si="3">IFS(J10="","",K10&lt;&gt;"",K10,TRUE,NOW())</f>
        <v>45832.61038</v>
      </c>
      <c r="L10" s="63" t="s">
        <v>27</v>
      </c>
      <c r="M10" s="64">
        <f t="shared" ref="M10:M39" si="4">IFS(L10="","",M10&lt;&gt;"",M10,TRUE,NOW())</f>
        <v>45839.67769</v>
      </c>
      <c r="N10" s="65" t="s">
        <v>28</v>
      </c>
      <c r="O10" s="66" t="str">
        <f t="shared" ref="O10:O39" si="5">IFS(N10="","",N10="Presupuestando","",N10="comprado","",O10&lt;&gt;"",O10,TRUE,NOW())</f>
        <v/>
      </c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</row>
    <row r="11">
      <c r="A11" s="68">
        <f t="shared" ref="A11:A39" si="6">A10+1</f>
        <v>2</v>
      </c>
      <c r="B11" s="69">
        <v>1.0</v>
      </c>
      <c r="C11" s="70" t="s">
        <v>29</v>
      </c>
      <c r="D11" s="71" t="s">
        <v>30</v>
      </c>
      <c r="E11" s="72" t="s">
        <v>31</v>
      </c>
      <c r="F11" s="39"/>
      <c r="G11" s="73">
        <v>125009.0</v>
      </c>
      <c r="H11" s="59">
        <f t="shared" si="1"/>
        <v>125009</v>
      </c>
      <c r="I11" s="62">
        <f t="shared" si="2"/>
        <v>45827.59892</v>
      </c>
      <c r="J11" s="74" t="s">
        <v>27</v>
      </c>
      <c r="K11" s="62">
        <f t="shared" si="3"/>
        <v>45832.61038</v>
      </c>
      <c r="L11" s="63" t="s">
        <v>27</v>
      </c>
      <c r="M11" s="75">
        <f t="shared" si="4"/>
        <v>45839.67769</v>
      </c>
      <c r="N11" s="76" t="s">
        <v>28</v>
      </c>
      <c r="O11" s="77" t="str">
        <f t="shared" si="5"/>
        <v/>
      </c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</row>
    <row r="12">
      <c r="A12" s="68">
        <f t="shared" si="6"/>
        <v>3</v>
      </c>
      <c r="B12" s="69">
        <v>1.0</v>
      </c>
      <c r="C12" s="70" t="s">
        <v>32</v>
      </c>
      <c r="D12" s="71" t="s">
        <v>33</v>
      </c>
      <c r="E12" s="56" t="s">
        <v>34</v>
      </c>
      <c r="F12" s="57"/>
      <c r="G12" s="73">
        <v>5189.0</v>
      </c>
      <c r="H12" s="59">
        <f t="shared" si="1"/>
        <v>5189</v>
      </c>
      <c r="I12" s="62">
        <f t="shared" si="2"/>
        <v>45827.59892</v>
      </c>
      <c r="J12" s="74" t="s">
        <v>27</v>
      </c>
      <c r="K12" s="62">
        <f t="shared" si="3"/>
        <v>45832.61038</v>
      </c>
      <c r="L12" s="63" t="s">
        <v>27</v>
      </c>
      <c r="M12" s="75">
        <f t="shared" si="4"/>
        <v>45839.6777</v>
      </c>
      <c r="N12" s="76" t="s">
        <v>28</v>
      </c>
      <c r="O12" s="77" t="str">
        <f t="shared" si="5"/>
        <v/>
      </c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  <c r="AA12" s="67"/>
      <c r="AB12" s="67"/>
      <c r="AC12" s="67"/>
      <c r="AD12" s="67"/>
    </row>
    <row r="13">
      <c r="A13" s="68">
        <f t="shared" si="6"/>
        <v>4</v>
      </c>
      <c r="B13" s="69">
        <v>4.0</v>
      </c>
      <c r="C13" s="70" t="s">
        <v>35</v>
      </c>
      <c r="D13" s="71" t="s">
        <v>36</v>
      </c>
      <c r="E13" s="78"/>
      <c r="F13" s="57"/>
      <c r="G13" s="73">
        <v>2618.0</v>
      </c>
      <c r="H13" s="59">
        <f t="shared" si="1"/>
        <v>10472</v>
      </c>
      <c r="I13" s="62">
        <f t="shared" si="2"/>
        <v>45909.58356</v>
      </c>
      <c r="J13" s="74" t="s">
        <v>27</v>
      </c>
      <c r="K13" s="62">
        <f t="shared" si="3"/>
        <v>45832.61038</v>
      </c>
      <c r="L13" s="63" t="s">
        <v>27</v>
      </c>
      <c r="M13" s="75">
        <f t="shared" si="4"/>
        <v>45839.6777</v>
      </c>
      <c r="N13" s="76" t="s">
        <v>28</v>
      </c>
      <c r="O13" s="77" t="str">
        <f t="shared" si="5"/>
        <v/>
      </c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</row>
    <row r="14">
      <c r="A14" s="68">
        <f t="shared" si="6"/>
        <v>5</v>
      </c>
      <c r="B14" s="69">
        <v>4.0</v>
      </c>
      <c r="C14" s="70" t="s">
        <v>37</v>
      </c>
      <c r="D14" s="71" t="s">
        <v>36</v>
      </c>
      <c r="E14" s="78"/>
      <c r="F14" s="57"/>
      <c r="G14" s="73">
        <v>2618.0</v>
      </c>
      <c r="H14" s="59">
        <f t="shared" si="1"/>
        <v>10472</v>
      </c>
      <c r="I14" s="62">
        <f t="shared" si="2"/>
        <v>45909.58356</v>
      </c>
      <c r="J14" s="74" t="s">
        <v>27</v>
      </c>
      <c r="K14" s="62">
        <f t="shared" si="3"/>
        <v>45832.61038</v>
      </c>
      <c r="L14" s="63" t="s">
        <v>27</v>
      </c>
      <c r="M14" s="75">
        <f t="shared" si="4"/>
        <v>45839.6777</v>
      </c>
      <c r="N14" s="76" t="s">
        <v>28</v>
      </c>
      <c r="O14" s="77" t="str">
        <f t="shared" si="5"/>
        <v/>
      </c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67"/>
    </row>
    <row r="15">
      <c r="A15" s="68">
        <f t="shared" si="6"/>
        <v>6</v>
      </c>
      <c r="B15" s="69">
        <v>4.0</v>
      </c>
      <c r="C15" s="70" t="s">
        <v>38</v>
      </c>
      <c r="D15" s="71" t="s">
        <v>36</v>
      </c>
      <c r="E15" s="79"/>
      <c r="G15" s="80">
        <v>1202.03</v>
      </c>
      <c r="H15" s="59">
        <f t="shared" si="1"/>
        <v>4808.12</v>
      </c>
      <c r="I15" s="62">
        <f t="shared" si="2"/>
        <v>45909.58357</v>
      </c>
      <c r="J15" s="74" t="s">
        <v>27</v>
      </c>
      <c r="K15" s="62">
        <f t="shared" si="3"/>
        <v>45832.61038</v>
      </c>
      <c r="L15" s="63" t="s">
        <v>27</v>
      </c>
      <c r="M15" s="75">
        <f t="shared" si="4"/>
        <v>45839.6777</v>
      </c>
      <c r="N15" s="76" t="s">
        <v>28</v>
      </c>
      <c r="O15" s="77" t="str">
        <f t="shared" si="5"/>
        <v/>
      </c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</row>
    <row r="16">
      <c r="A16" s="68">
        <f t="shared" si="6"/>
        <v>7</v>
      </c>
      <c r="B16" s="69">
        <v>4.0</v>
      </c>
      <c r="C16" s="70" t="s">
        <v>39</v>
      </c>
      <c r="D16" s="71" t="s">
        <v>36</v>
      </c>
      <c r="E16" s="81"/>
      <c r="F16" s="82"/>
      <c r="G16" s="73">
        <v>4584.0</v>
      </c>
      <c r="H16" s="59">
        <f t="shared" si="1"/>
        <v>18336</v>
      </c>
      <c r="I16" s="62">
        <f t="shared" si="2"/>
        <v>45909.58357</v>
      </c>
      <c r="J16" s="74" t="s">
        <v>27</v>
      </c>
      <c r="K16" s="62">
        <f t="shared" si="3"/>
        <v>45832.61038</v>
      </c>
      <c r="L16" s="63" t="s">
        <v>27</v>
      </c>
      <c r="M16" s="75">
        <f t="shared" si="4"/>
        <v>45839.6777</v>
      </c>
      <c r="N16" s="76" t="s">
        <v>28</v>
      </c>
      <c r="O16" s="77" t="str">
        <f t="shared" si="5"/>
        <v/>
      </c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  <c r="AA16" s="67"/>
      <c r="AB16" s="67"/>
      <c r="AC16" s="67"/>
      <c r="AD16" s="67"/>
    </row>
    <row r="17">
      <c r="A17" s="68">
        <f t="shared" si="6"/>
        <v>8</v>
      </c>
      <c r="B17" s="69">
        <v>1.0</v>
      </c>
      <c r="C17" s="70" t="s">
        <v>40</v>
      </c>
      <c r="D17" s="71" t="s">
        <v>41</v>
      </c>
      <c r="E17" s="81"/>
      <c r="F17" s="57"/>
      <c r="G17" s="73">
        <v>3000.0</v>
      </c>
      <c r="H17" s="59">
        <f t="shared" si="1"/>
        <v>3000</v>
      </c>
      <c r="I17" s="62">
        <f t="shared" si="2"/>
        <v>45909.58357</v>
      </c>
      <c r="J17" s="74" t="s">
        <v>27</v>
      </c>
      <c r="K17" s="62">
        <f t="shared" si="3"/>
        <v>45832.61038</v>
      </c>
      <c r="L17" s="63" t="s">
        <v>27</v>
      </c>
      <c r="M17" s="75">
        <f t="shared" si="4"/>
        <v>45839.6777</v>
      </c>
      <c r="N17" s="76" t="s">
        <v>28</v>
      </c>
      <c r="O17" s="77" t="str">
        <f t="shared" si="5"/>
        <v/>
      </c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</row>
    <row r="18">
      <c r="A18" s="68">
        <f t="shared" si="6"/>
        <v>9</v>
      </c>
      <c r="B18" s="69">
        <v>1.0</v>
      </c>
      <c r="C18" s="70" t="s">
        <v>42</v>
      </c>
      <c r="D18" s="71" t="s">
        <v>43</v>
      </c>
      <c r="E18" s="56" t="s">
        <v>44</v>
      </c>
      <c r="F18" s="57"/>
      <c r="G18" s="73">
        <v>2279.0</v>
      </c>
      <c r="H18" s="59">
        <f t="shared" si="1"/>
        <v>2279</v>
      </c>
      <c r="I18" s="62">
        <f t="shared" si="2"/>
        <v>45909.58357</v>
      </c>
      <c r="J18" s="74" t="s">
        <v>27</v>
      </c>
      <c r="K18" s="62">
        <f t="shared" si="3"/>
        <v>45832.61039</v>
      </c>
      <c r="L18" s="63" t="s">
        <v>27</v>
      </c>
      <c r="M18" s="75">
        <f t="shared" si="4"/>
        <v>45839.6777</v>
      </c>
      <c r="N18" s="76" t="s">
        <v>28</v>
      </c>
      <c r="O18" s="77" t="str">
        <f t="shared" si="5"/>
        <v/>
      </c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67"/>
    </row>
    <row r="19">
      <c r="A19" s="68">
        <f t="shared" si="6"/>
        <v>10</v>
      </c>
      <c r="B19" s="69">
        <v>1.0</v>
      </c>
      <c r="C19" s="70" t="s">
        <v>45</v>
      </c>
      <c r="D19" s="71" t="s">
        <v>46</v>
      </c>
      <c r="E19" s="81"/>
      <c r="F19" s="57"/>
      <c r="G19" s="73">
        <v>5300.0</v>
      </c>
      <c r="H19" s="59">
        <f t="shared" si="1"/>
        <v>5300</v>
      </c>
      <c r="I19" s="62">
        <f t="shared" si="2"/>
        <v>45909.58357</v>
      </c>
      <c r="J19" s="74" t="s">
        <v>27</v>
      </c>
      <c r="K19" s="62">
        <f t="shared" si="3"/>
        <v>45832.61039</v>
      </c>
      <c r="L19" s="63" t="s">
        <v>27</v>
      </c>
      <c r="M19" s="75">
        <f t="shared" si="4"/>
        <v>45839.6847</v>
      </c>
      <c r="N19" s="76" t="s">
        <v>28</v>
      </c>
      <c r="O19" s="77" t="str">
        <f t="shared" si="5"/>
        <v/>
      </c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</row>
    <row r="20">
      <c r="A20" s="68">
        <f t="shared" si="6"/>
        <v>11</v>
      </c>
      <c r="B20" s="83">
        <v>1.0</v>
      </c>
      <c r="C20" s="84" t="s">
        <v>47</v>
      </c>
      <c r="D20" s="84" t="s">
        <v>48</v>
      </c>
      <c r="E20" s="85"/>
      <c r="G20" s="86">
        <v>16000.0</v>
      </c>
      <c r="H20" s="59">
        <f t="shared" si="1"/>
        <v>16000</v>
      </c>
      <c r="I20" s="62">
        <f t="shared" si="2"/>
        <v>45909.58396</v>
      </c>
      <c r="J20" s="74" t="s">
        <v>27</v>
      </c>
      <c r="K20" s="62">
        <f t="shared" si="3"/>
        <v>45909.60146</v>
      </c>
      <c r="L20" s="63" t="s">
        <v>27</v>
      </c>
      <c r="M20" s="75">
        <f t="shared" si="4"/>
        <v>45909.60155</v>
      </c>
      <c r="N20" s="76" t="s">
        <v>28</v>
      </c>
      <c r="O20" s="77" t="str">
        <f t="shared" si="5"/>
        <v/>
      </c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</row>
    <row r="21">
      <c r="A21" s="68">
        <f t="shared" si="6"/>
        <v>12</v>
      </c>
      <c r="B21" s="83">
        <v>1.0</v>
      </c>
      <c r="C21" s="84" t="s">
        <v>49</v>
      </c>
      <c r="D21" s="84" t="s">
        <v>50</v>
      </c>
      <c r="E21" s="87"/>
      <c r="F21" s="57"/>
      <c r="G21" s="86">
        <v>7700.0</v>
      </c>
      <c r="H21" s="59">
        <f t="shared" si="1"/>
        <v>7700</v>
      </c>
      <c r="I21" s="62">
        <f t="shared" si="2"/>
        <v>45951.42038</v>
      </c>
      <c r="J21" s="74" t="s">
        <v>27</v>
      </c>
      <c r="K21" s="62">
        <f t="shared" si="3"/>
        <v>45909.60153</v>
      </c>
      <c r="L21" s="63" t="s">
        <v>27</v>
      </c>
      <c r="M21" s="75">
        <f t="shared" si="4"/>
        <v>45909.60156</v>
      </c>
      <c r="N21" s="76" t="s">
        <v>28</v>
      </c>
      <c r="O21" s="77" t="str">
        <f t="shared" si="5"/>
        <v/>
      </c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</row>
    <row r="22">
      <c r="A22" s="68">
        <f t="shared" si="6"/>
        <v>13</v>
      </c>
      <c r="B22" s="83">
        <v>2.0</v>
      </c>
      <c r="C22" s="84" t="s">
        <v>24</v>
      </c>
      <c r="D22" s="84" t="s">
        <v>51</v>
      </c>
      <c r="E22" s="88" t="s">
        <v>52</v>
      </c>
      <c r="F22" s="57"/>
      <c r="G22" s="86"/>
      <c r="H22" s="59">
        <f t="shared" si="1"/>
        <v>0</v>
      </c>
      <c r="I22" s="62">
        <f t="shared" si="2"/>
        <v>45916.68148</v>
      </c>
      <c r="J22" s="74"/>
      <c r="K22" s="62" t="str">
        <f t="shared" si="3"/>
        <v/>
      </c>
      <c r="L22" s="63"/>
      <c r="M22" s="75" t="str">
        <f t="shared" si="4"/>
        <v/>
      </c>
      <c r="N22" s="76" t="s">
        <v>28</v>
      </c>
      <c r="O22" s="77" t="str">
        <f t="shared" si="5"/>
        <v/>
      </c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  <c r="AA22" s="67"/>
      <c r="AB22" s="67"/>
      <c r="AC22" s="67"/>
      <c r="AD22" s="67"/>
    </row>
    <row r="23">
      <c r="A23" s="68">
        <f t="shared" si="6"/>
        <v>14</v>
      </c>
      <c r="B23" s="83">
        <v>1.0</v>
      </c>
      <c r="C23" s="84" t="s">
        <v>53</v>
      </c>
      <c r="D23" s="84" t="s">
        <v>54</v>
      </c>
      <c r="E23" s="87"/>
      <c r="F23" s="57"/>
      <c r="G23" s="86"/>
      <c r="H23" s="59">
        <f t="shared" si="1"/>
        <v>0</v>
      </c>
      <c r="I23" s="62">
        <f t="shared" si="2"/>
        <v>45951.4207</v>
      </c>
      <c r="J23" s="74"/>
      <c r="K23" s="62" t="str">
        <f t="shared" si="3"/>
        <v/>
      </c>
      <c r="L23" s="89"/>
      <c r="M23" s="75" t="str">
        <f t="shared" si="4"/>
        <v/>
      </c>
      <c r="N23" s="76" t="s">
        <v>28</v>
      </c>
      <c r="O23" s="77" t="str">
        <f t="shared" si="5"/>
        <v/>
      </c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</row>
    <row r="24">
      <c r="A24" s="68">
        <f t="shared" si="6"/>
        <v>15</v>
      </c>
      <c r="B24" s="83"/>
      <c r="C24" s="84"/>
      <c r="D24" s="84"/>
      <c r="E24" s="87"/>
      <c r="F24" s="57"/>
      <c r="G24" s="86"/>
      <c r="H24" s="59">
        <f t="shared" si="1"/>
        <v>0</v>
      </c>
      <c r="I24" s="62" t="str">
        <f t="shared" si="2"/>
        <v/>
      </c>
      <c r="J24" s="74"/>
      <c r="K24" s="62" t="str">
        <f t="shared" si="3"/>
        <v/>
      </c>
      <c r="L24" s="89"/>
      <c r="M24" s="75" t="str">
        <f t="shared" si="4"/>
        <v/>
      </c>
      <c r="N24" s="76" t="s">
        <v>28</v>
      </c>
      <c r="O24" s="77" t="str">
        <f t="shared" si="5"/>
        <v/>
      </c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</row>
    <row r="25">
      <c r="A25" s="68">
        <f t="shared" si="6"/>
        <v>16</v>
      </c>
      <c r="B25" s="83"/>
      <c r="C25" s="84"/>
      <c r="D25" s="84"/>
      <c r="E25" s="87"/>
      <c r="F25" s="57"/>
      <c r="G25" s="86"/>
      <c r="H25" s="59">
        <f t="shared" si="1"/>
        <v>0</v>
      </c>
      <c r="I25" s="62" t="str">
        <f t="shared" si="2"/>
        <v/>
      </c>
      <c r="J25" s="74"/>
      <c r="K25" s="62" t="str">
        <f t="shared" si="3"/>
        <v/>
      </c>
      <c r="L25" s="89"/>
      <c r="M25" s="75" t="str">
        <f t="shared" si="4"/>
        <v/>
      </c>
      <c r="N25" s="76" t="s">
        <v>28</v>
      </c>
      <c r="O25" s="77" t="str">
        <f t="shared" si="5"/>
        <v/>
      </c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</row>
    <row r="26">
      <c r="A26" s="68">
        <f t="shared" si="6"/>
        <v>17</v>
      </c>
      <c r="B26" s="83"/>
      <c r="C26" s="84"/>
      <c r="D26" s="84"/>
      <c r="F26" s="90"/>
      <c r="G26" s="91"/>
      <c r="H26" s="59">
        <f t="shared" si="1"/>
        <v>0</v>
      </c>
      <c r="I26" s="62" t="str">
        <f t="shared" si="2"/>
        <v/>
      </c>
      <c r="J26" s="74"/>
      <c r="K26" s="62" t="str">
        <f t="shared" si="3"/>
        <v/>
      </c>
      <c r="L26" s="89"/>
      <c r="M26" s="75" t="str">
        <f t="shared" si="4"/>
        <v/>
      </c>
      <c r="N26" s="76" t="s">
        <v>28</v>
      </c>
      <c r="O26" s="77" t="str">
        <f t="shared" si="5"/>
        <v/>
      </c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  <c r="AA26" s="67"/>
      <c r="AB26" s="67"/>
      <c r="AC26" s="67"/>
      <c r="AD26" s="67"/>
    </row>
    <row r="27">
      <c r="A27" s="68">
        <f t="shared" si="6"/>
        <v>18</v>
      </c>
      <c r="B27" s="83"/>
      <c r="C27" s="84"/>
      <c r="D27" s="84"/>
      <c r="E27" s="87"/>
      <c r="F27" s="57"/>
      <c r="G27" s="91"/>
      <c r="H27" s="59">
        <f t="shared" si="1"/>
        <v>0</v>
      </c>
      <c r="I27" s="62" t="str">
        <f t="shared" si="2"/>
        <v/>
      </c>
      <c r="J27" s="74"/>
      <c r="K27" s="62" t="str">
        <f t="shared" si="3"/>
        <v/>
      </c>
      <c r="L27" s="89"/>
      <c r="M27" s="75" t="str">
        <f t="shared" si="4"/>
        <v/>
      </c>
      <c r="N27" s="76" t="s">
        <v>28</v>
      </c>
      <c r="O27" s="77" t="str">
        <f t="shared" si="5"/>
        <v/>
      </c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</row>
    <row r="28">
      <c r="A28" s="68">
        <f t="shared" si="6"/>
        <v>19</v>
      </c>
      <c r="B28" s="83"/>
      <c r="C28" s="84"/>
      <c r="D28" s="84"/>
      <c r="E28" s="87"/>
      <c r="F28" s="57"/>
      <c r="G28" s="86"/>
      <c r="H28" s="59">
        <f t="shared" si="1"/>
        <v>0</v>
      </c>
      <c r="I28" s="62" t="str">
        <f t="shared" si="2"/>
        <v/>
      </c>
      <c r="J28" s="74"/>
      <c r="K28" s="62" t="str">
        <f t="shared" si="3"/>
        <v/>
      </c>
      <c r="L28" s="89"/>
      <c r="M28" s="75" t="str">
        <f t="shared" si="4"/>
        <v/>
      </c>
      <c r="N28" s="76" t="s">
        <v>28</v>
      </c>
      <c r="O28" s="77" t="str">
        <f t="shared" si="5"/>
        <v/>
      </c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  <c r="AA28" s="67"/>
      <c r="AB28" s="67"/>
      <c r="AC28" s="67"/>
      <c r="AD28" s="67"/>
    </row>
    <row r="29">
      <c r="A29" s="68">
        <f t="shared" si="6"/>
        <v>20</v>
      </c>
      <c r="B29" s="83"/>
      <c r="C29" s="84"/>
      <c r="D29" s="84"/>
      <c r="E29" s="87"/>
      <c r="F29" s="57"/>
      <c r="G29" s="86"/>
      <c r="H29" s="59">
        <f t="shared" si="1"/>
        <v>0</v>
      </c>
      <c r="I29" s="62" t="str">
        <f t="shared" si="2"/>
        <v/>
      </c>
      <c r="J29" s="74"/>
      <c r="K29" s="62" t="str">
        <f t="shared" si="3"/>
        <v/>
      </c>
      <c r="L29" s="89"/>
      <c r="M29" s="75" t="str">
        <f t="shared" si="4"/>
        <v/>
      </c>
      <c r="N29" s="76" t="s">
        <v>28</v>
      </c>
      <c r="O29" s="77" t="str">
        <f t="shared" si="5"/>
        <v/>
      </c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</row>
    <row r="30">
      <c r="A30" s="68">
        <f t="shared" si="6"/>
        <v>21</v>
      </c>
      <c r="B30" s="83"/>
      <c r="C30" s="84"/>
      <c r="D30" s="84"/>
      <c r="E30" s="87"/>
      <c r="F30" s="92"/>
      <c r="G30" s="86"/>
      <c r="H30" s="59">
        <f t="shared" si="1"/>
        <v>0</v>
      </c>
      <c r="I30" s="62" t="str">
        <f t="shared" si="2"/>
        <v/>
      </c>
      <c r="J30" s="74"/>
      <c r="K30" s="62" t="str">
        <f t="shared" si="3"/>
        <v/>
      </c>
      <c r="L30" s="89"/>
      <c r="M30" s="75" t="str">
        <f t="shared" si="4"/>
        <v/>
      </c>
      <c r="N30" s="76" t="s">
        <v>28</v>
      </c>
      <c r="O30" s="77" t="str">
        <f t="shared" si="5"/>
        <v/>
      </c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  <c r="AA30" s="67"/>
      <c r="AB30" s="67"/>
      <c r="AC30" s="67"/>
      <c r="AD30" s="67"/>
    </row>
    <row r="31">
      <c r="A31" s="68">
        <f t="shared" si="6"/>
        <v>22</v>
      </c>
      <c r="B31" s="83"/>
      <c r="C31" s="84"/>
      <c r="D31" s="84"/>
      <c r="E31" s="93"/>
      <c r="F31" s="57"/>
      <c r="G31" s="86"/>
      <c r="H31" s="59">
        <f t="shared" si="1"/>
        <v>0</v>
      </c>
      <c r="I31" s="62" t="str">
        <f t="shared" si="2"/>
        <v/>
      </c>
      <c r="J31" s="74"/>
      <c r="K31" s="62" t="str">
        <f t="shared" si="3"/>
        <v/>
      </c>
      <c r="L31" s="89"/>
      <c r="M31" s="75" t="str">
        <f t="shared" si="4"/>
        <v/>
      </c>
      <c r="N31" s="76" t="s">
        <v>28</v>
      </c>
      <c r="O31" s="77" t="str">
        <f t="shared" si="5"/>
        <v/>
      </c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</row>
    <row r="32">
      <c r="A32" s="68">
        <f t="shared" si="6"/>
        <v>23</v>
      </c>
      <c r="B32" s="83"/>
      <c r="C32" s="84"/>
      <c r="D32" s="84"/>
      <c r="E32" s="93"/>
      <c r="F32" s="57"/>
      <c r="G32" s="86"/>
      <c r="H32" s="59">
        <f t="shared" si="1"/>
        <v>0</v>
      </c>
      <c r="I32" s="62" t="str">
        <f t="shared" si="2"/>
        <v/>
      </c>
      <c r="J32" s="74"/>
      <c r="K32" s="62" t="str">
        <f t="shared" si="3"/>
        <v/>
      </c>
      <c r="L32" s="89"/>
      <c r="M32" s="75" t="str">
        <f t="shared" si="4"/>
        <v/>
      </c>
      <c r="N32" s="76" t="s">
        <v>28</v>
      </c>
      <c r="O32" s="77" t="str">
        <f t="shared" si="5"/>
        <v/>
      </c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  <c r="AA32" s="67"/>
      <c r="AB32" s="67"/>
      <c r="AC32" s="67"/>
      <c r="AD32" s="67"/>
    </row>
    <row r="33">
      <c r="A33" s="68">
        <f t="shared" si="6"/>
        <v>24</v>
      </c>
      <c r="B33" s="83"/>
      <c r="C33" s="84"/>
      <c r="D33" s="84"/>
      <c r="E33" s="93"/>
      <c r="F33" s="57"/>
      <c r="G33" s="86"/>
      <c r="H33" s="59">
        <f t="shared" si="1"/>
        <v>0</v>
      </c>
      <c r="I33" s="62" t="str">
        <f t="shared" si="2"/>
        <v/>
      </c>
      <c r="J33" s="74"/>
      <c r="K33" s="62" t="str">
        <f t="shared" si="3"/>
        <v/>
      </c>
      <c r="L33" s="89"/>
      <c r="M33" s="75" t="str">
        <f t="shared" si="4"/>
        <v/>
      </c>
      <c r="N33" s="76" t="s">
        <v>28</v>
      </c>
      <c r="O33" s="77" t="str">
        <f t="shared" si="5"/>
        <v/>
      </c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</row>
    <row r="34">
      <c r="A34" s="68">
        <f t="shared" si="6"/>
        <v>25</v>
      </c>
      <c r="B34" s="83"/>
      <c r="C34" s="84"/>
      <c r="D34" s="94"/>
      <c r="E34" s="93"/>
      <c r="F34" s="57"/>
      <c r="G34" s="86"/>
      <c r="H34" s="59">
        <f t="shared" si="1"/>
        <v>0</v>
      </c>
      <c r="I34" s="62" t="str">
        <f t="shared" si="2"/>
        <v/>
      </c>
      <c r="J34" s="74"/>
      <c r="K34" s="62" t="str">
        <f t="shared" si="3"/>
        <v/>
      </c>
      <c r="L34" s="89"/>
      <c r="M34" s="75" t="str">
        <f t="shared" si="4"/>
        <v/>
      </c>
      <c r="N34" s="76" t="s">
        <v>28</v>
      </c>
      <c r="O34" s="77" t="str">
        <f t="shared" si="5"/>
        <v/>
      </c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</row>
    <row r="35">
      <c r="A35" s="68">
        <f t="shared" si="6"/>
        <v>26</v>
      </c>
      <c r="B35" s="83"/>
      <c r="C35" s="84"/>
      <c r="D35" s="84"/>
      <c r="E35" s="93"/>
      <c r="F35" s="57"/>
      <c r="G35" s="86"/>
      <c r="H35" s="59">
        <f t="shared" si="1"/>
        <v>0</v>
      </c>
      <c r="I35" s="62" t="str">
        <f t="shared" si="2"/>
        <v/>
      </c>
      <c r="J35" s="74"/>
      <c r="K35" s="62" t="str">
        <f t="shared" si="3"/>
        <v/>
      </c>
      <c r="L35" s="89"/>
      <c r="M35" s="75" t="str">
        <f t="shared" si="4"/>
        <v/>
      </c>
      <c r="N35" s="76" t="s">
        <v>28</v>
      </c>
      <c r="O35" s="77" t="str">
        <f t="shared" si="5"/>
        <v/>
      </c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</row>
    <row r="36">
      <c r="A36" s="68">
        <f t="shared" si="6"/>
        <v>27</v>
      </c>
      <c r="B36" s="83"/>
      <c r="C36" s="84"/>
      <c r="D36" s="84"/>
      <c r="E36" s="93"/>
      <c r="F36" s="57"/>
      <c r="G36" s="86"/>
      <c r="H36" s="59">
        <f t="shared" si="1"/>
        <v>0</v>
      </c>
      <c r="I36" s="62" t="str">
        <f t="shared" si="2"/>
        <v/>
      </c>
      <c r="J36" s="74"/>
      <c r="K36" s="62" t="str">
        <f t="shared" si="3"/>
        <v/>
      </c>
      <c r="L36" s="89"/>
      <c r="M36" s="75" t="str">
        <f t="shared" si="4"/>
        <v/>
      </c>
      <c r="N36" s="76" t="s">
        <v>28</v>
      </c>
      <c r="O36" s="77" t="str">
        <f t="shared" si="5"/>
        <v/>
      </c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  <c r="AA36" s="67"/>
      <c r="AB36" s="67"/>
      <c r="AC36" s="67"/>
      <c r="AD36" s="67"/>
    </row>
    <row r="37">
      <c r="A37" s="68">
        <f t="shared" si="6"/>
        <v>28</v>
      </c>
      <c r="B37" s="83"/>
      <c r="C37" s="84"/>
      <c r="D37" s="94"/>
      <c r="E37" s="93"/>
      <c r="F37" s="57"/>
      <c r="G37" s="86"/>
      <c r="H37" s="59">
        <f t="shared" si="1"/>
        <v>0</v>
      </c>
      <c r="I37" s="62" t="str">
        <f t="shared" si="2"/>
        <v/>
      </c>
      <c r="J37" s="74"/>
      <c r="K37" s="62" t="str">
        <f t="shared" si="3"/>
        <v/>
      </c>
      <c r="L37" s="89"/>
      <c r="M37" s="75" t="str">
        <f t="shared" si="4"/>
        <v/>
      </c>
      <c r="N37" s="76" t="s">
        <v>28</v>
      </c>
      <c r="O37" s="77" t="str">
        <f t="shared" si="5"/>
        <v/>
      </c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</row>
    <row r="38">
      <c r="A38" s="68">
        <f t="shared" si="6"/>
        <v>29</v>
      </c>
      <c r="B38" s="83"/>
      <c r="C38" s="84"/>
      <c r="D38" s="94"/>
      <c r="E38" s="93"/>
      <c r="F38" s="57"/>
      <c r="G38" s="86"/>
      <c r="H38" s="59">
        <f t="shared" si="1"/>
        <v>0</v>
      </c>
      <c r="I38" s="62" t="str">
        <f t="shared" si="2"/>
        <v/>
      </c>
      <c r="J38" s="74"/>
      <c r="K38" s="62" t="str">
        <f t="shared" si="3"/>
        <v/>
      </c>
      <c r="L38" s="89"/>
      <c r="M38" s="75" t="str">
        <f t="shared" si="4"/>
        <v/>
      </c>
      <c r="N38" s="76" t="s">
        <v>28</v>
      </c>
      <c r="O38" s="77" t="str">
        <f t="shared" si="5"/>
        <v/>
      </c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  <c r="AA38" s="67"/>
      <c r="AB38" s="67"/>
      <c r="AC38" s="67"/>
      <c r="AD38" s="67"/>
    </row>
    <row r="39">
      <c r="A39" s="95">
        <f t="shared" si="6"/>
        <v>30</v>
      </c>
      <c r="B39" s="96"/>
      <c r="C39" s="97"/>
      <c r="D39" s="98"/>
      <c r="E39" s="99"/>
      <c r="F39" s="100"/>
      <c r="G39" s="101"/>
      <c r="H39" s="59">
        <f t="shared" si="1"/>
        <v>0</v>
      </c>
      <c r="I39" s="102" t="str">
        <f t="shared" si="2"/>
        <v/>
      </c>
      <c r="J39" s="103"/>
      <c r="K39" s="102" t="str">
        <f t="shared" si="3"/>
        <v/>
      </c>
      <c r="L39" s="104"/>
      <c r="M39" s="105" t="str">
        <f t="shared" si="4"/>
        <v/>
      </c>
      <c r="N39" s="106" t="s">
        <v>28</v>
      </c>
      <c r="O39" s="107" t="str">
        <f t="shared" si="5"/>
        <v/>
      </c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</row>
    <row r="40">
      <c r="A40" s="1"/>
      <c r="B40" s="1"/>
      <c r="C40" s="1"/>
      <c r="D40" s="1"/>
      <c r="G40" s="108" t="s">
        <v>55</v>
      </c>
      <c r="H40" s="109">
        <f>SUM(H10:H39)</f>
        <v>238043.12</v>
      </c>
      <c r="I40" s="110"/>
      <c r="J40" s="111" t="s">
        <v>56</v>
      </c>
      <c r="K40" s="112">
        <f>SUMIF(N10:N39 , "Comprado", H10:H39)</f>
        <v>0</v>
      </c>
      <c r="L40" s="110"/>
    </row>
    <row r="41">
      <c r="A41" s="113"/>
      <c r="G41" s="114"/>
      <c r="H41" s="110"/>
      <c r="I41" s="110"/>
      <c r="J41" s="110"/>
      <c r="K41" s="110"/>
      <c r="L41" s="110"/>
    </row>
    <row r="42">
      <c r="A42" s="1"/>
    </row>
    <row r="43">
      <c r="A43" s="1"/>
    </row>
    <row r="44">
      <c r="A44" s="1"/>
    </row>
    <row r="45">
      <c r="A45" s="1"/>
    </row>
    <row r="46">
      <c r="A46" s="1"/>
    </row>
    <row r="47">
      <c r="A47" s="1"/>
    </row>
    <row r="48">
      <c r="A48" s="1"/>
    </row>
    <row r="49">
      <c r="A49" s="1"/>
    </row>
    <row r="50">
      <c r="A50" s="1"/>
    </row>
    <row r="51">
      <c r="A51" s="1"/>
    </row>
    <row r="52">
      <c r="A52" s="1"/>
    </row>
    <row r="53">
      <c r="A53" s="1"/>
    </row>
    <row r="54">
      <c r="A54" s="1"/>
    </row>
    <row r="55">
      <c r="A55" s="1"/>
    </row>
    <row r="56">
      <c r="A56" s="1"/>
    </row>
    <row r="57">
      <c r="A57" s="1"/>
    </row>
    <row r="58">
      <c r="A58" s="1"/>
    </row>
    <row r="59">
      <c r="A59" s="1"/>
    </row>
    <row r="60">
      <c r="A60" s="1"/>
    </row>
    <row r="61">
      <c r="A61" s="1"/>
    </row>
    <row r="62">
      <c r="A62" s="1"/>
    </row>
    <row r="63">
      <c r="A63" s="1"/>
    </row>
    <row r="64">
      <c r="A64" s="1"/>
    </row>
    <row r="65">
      <c r="A65" s="1"/>
    </row>
    <row r="66">
      <c r="A66" s="1"/>
    </row>
    <row r="67">
      <c r="A67" s="1"/>
    </row>
    <row r="68">
      <c r="A68" s="1"/>
    </row>
    <row r="69">
      <c r="A69" s="1"/>
    </row>
    <row r="70">
      <c r="A70" s="1"/>
    </row>
    <row r="71">
      <c r="A71" s="1"/>
    </row>
    <row r="72">
      <c r="A72" s="1"/>
    </row>
    <row r="73">
      <c r="A73" s="1"/>
    </row>
    <row r="74">
      <c r="A74" s="1"/>
    </row>
    <row r="75">
      <c r="A75" s="1"/>
    </row>
    <row r="76">
      <c r="A76" s="1"/>
    </row>
    <row r="77">
      <c r="A77" s="1"/>
    </row>
    <row r="78">
      <c r="A78" s="1"/>
    </row>
    <row r="79">
      <c r="A79" s="1"/>
    </row>
    <row r="80">
      <c r="A80" s="1"/>
    </row>
    <row r="81">
      <c r="A81" s="1"/>
    </row>
    <row r="82">
      <c r="A82" s="1"/>
    </row>
    <row r="83">
      <c r="A83" s="1"/>
    </row>
    <row r="84">
      <c r="A84" s="1"/>
    </row>
    <row r="85">
      <c r="A85" s="1"/>
    </row>
    <row r="86">
      <c r="A86" s="1"/>
    </row>
    <row r="87">
      <c r="A87" s="1"/>
    </row>
    <row r="88">
      <c r="A88" s="1"/>
    </row>
    <row r="89">
      <c r="A89" s="1"/>
    </row>
    <row r="90">
      <c r="A90" s="1"/>
    </row>
    <row r="91">
      <c r="A91" s="1"/>
    </row>
    <row r="92">
      <c r="A92" s="1"/>
    </row>
    <row r="93">
      <c r="A93" s="1"/>
    </row>
    <row r="94">
      <c r="A94" s="1"/>
    </row>
    <row r="95">
      <c r="A95" s="1"/>
    </row>
    <row r="96">
      <c r="A96" s="1"/>
    </row>
    <row r="97">
      <c r="A97" s="1"/>
    </row>
    <row r="98">
      <c r="A98" s="1"/>
    </row>
    <row r="99">
      <c r="A99" s="1"/>
    </row>
    <row r="100">
      <c r="A100" s="1"/>
    </row>
    <row r="101">
      <c r="A101" s="1"/>
    </row>
    <row r="102">
      <c r="A102" s="1"/>
    </row>
    <row r="103">
      <c r="A103" s="1"/>
    </row>
    <row r="104">
      <c r="A104" s="1"/>
    </row>
    <row r="105">
      <c r="A105" s="1"/>
    </row>
    <row r="106">
      <c r="A106" s="1"/>
    </row>
    <row r="107">
      <c r="A107" s="1"/>
    </row>
    <row r="108">
      <c r="A108" s="1"/>
    </row>
    <row r="109">
      <c r="A109" s="1"/>
    </row>
    <row r="110">
      <c r="A110" s="1"/>
    </row>
    <row r="111">
      <c r="A111" s="1"/>
    </row>
    <row r="112">
      <c r="A112" s="1"/>
    </row>
    <row r="113">
      <c r="A113" s="1"/>
    </row>
    <row r="114">
      <c r="A114" s="1"/>
    </row>
    <row r="115">
      <c r="A115" s="1"/>
    </row>
    <row r="116">
      <c r="A116" s="1"/>
    </row>
    <row r="117">
      <c r="A117" s="1"/>
    </row>
    <row r="118">
      <c r="A118" s="1"/>
    </row>
    <row r="119">
      <c r="A119" s="1"/>
    </row>
    <row r="120">
      <c r="A120" s="1"/>
    </row>
    <row r="121">
      <c r="A121" s="1"/>
    </row>
    <row r="122">
      <c r="A122" s="1"/>
    </row>
    <row r="123">
      <c r="A123" s="1"/>
    </row>
    <row r="124">
      <c r="A124" s="1"/>
    </row>
    <row r="125">
      <c r="A125" s="1"/>
    </row>
    <row r="126">
      <c r="A126" s="1"/>
    </row>
    <row r="127">
      <c r="A127" s="1"/>
    </row>
    <row r="128">
      <c r="A128" s="1"/>
    </row>
    <row r="129">
      <c r="A129" s="1"/>
    </row>
    <row r="130">
      <c r="A130" s="1"/>
    </row>
    <row r="131">
      <c r="A131" s="1"/>
    </row>
    <row r="132">
      <c r="A132" s="1"/>
    </row>
    <row r="133">
      <c r="A133" s="1"/>
    </row>
    <row r="134">
      <c r="A134" s="1"/>
    </row>
    <row r="135">
      <c r="A135" s="1"/>
    </row>
    <row r="136">
      <c r="A136" s="1"/>
    </row>
    <row r="137">
      <c r="A137" s="1"/>
    </row>
    <row r="138">
      <c r="A138" s="1"/>
    </row>
    <row r="139">
      <c r="A139" s="1"/>
    </row>
    <row r="140">
      <c r="A140" s="1"/>
    </row>
    <row r="141">
      <c r="A141" s="1"/>
    </row>
    <row r="142">
      <c r="A142" s="1"/>
    </row>
    <row r="143">
      <c r="A143" s="1"/>
    </row>
    <row r="144">
      <c r="A144" s="1"/>
    </row>
    <row r="145">
      <c r="A145" s="1"/>
    </row>
    <row r="146">
      <c r="A146" s="1"/>
    </row>
    <row r="147">
      <c r="A147" s="1"/>
    </row>
    <row r="148">
      <c r="A148" s="1"/>
    </row>
    <row r="149">
      <c r="A149" s="1"/>
    </row>
    <row r="150">
      <c r="A150" s="1"/>
    </row>
    <row r="151">
      <c r="A151" s="1"/>
    </row>
    <row r="152">
      <c r="A152" s="1"/>
    </row>
    <row r="153">
      <c r="A153" s="1"/>
    </row>
    <row r="154">
      <c r="A154" s="1"/>
    </row>
    <row r="155">
      <c r="A155" s="1"/>
    </row>
    <row r="156">
      <c r="A156" s="1"/>
    </row>
    <row r="157">
      <c r="A157" s="1"/>
    </row>
    <row r="158">
      <c r="A158" s="1"/>
    </row>
    <row r="159">
      <c r="A159" s="1"/>
    </row>
    <row r="160">
      <c r="A160" s="1"/>
    </row>
    <row r="161">
      <c r="A161" s="1"/>
    </row>
    <row r="162">
      <c r="A162" s="1"/>
    </row>
    <row r="163">
      <c r="A163" s="1"/>
    </row>
    <row r="164">
      <c r="A164" s="1"/>
    </row>
    <row r="165">
      <c r="A165" s="1"/>
    </row>
    <row r="166">
      <c r="A166" s="1"/>
    </row>
    <row r="167">
      <c r="A167" s="1"/>
    </row>
    <row r="168">
      <c r="A168" s="1"/>
    </row>
    <row r="169">
      <c r="A169" s="1"/>
    </row>
    <row r="170">
      <c r="A170" s="1"/>
    </row>
    <row r="171">
      <c r="A171" s="1"/>
    </row>
    <row r="172">
      <c r="A172" s="1"/>
    </row>
    <row r="173">
      <c r="A173" s="1"/>
    </row>
    <row r="174">
      <c r="A174" s="1"/>
    </row>
    <row r="175">
      <c r="A175" s="1"/>
    </row>
    <row r="176">
      <c r="A176" s="1"/>
    </row>
    <row r="177">
      <c r="A177" s="1"/>
    </row>
    <row r="178">
      <c r="A178" s="1"/>
    </row>
    <row r="179">
      <c r="A179" s="1"/>
    </row>
    <row r="180">
      <c r="A180" s="1"/>
    </row>
    <row r="181">
      <c r="A181" s="1"/>
    </row>
    <row r="182">
      <c r="A182" s="1"/>
    </row>
    <row r="183">
      <c r="A183" s="1"/>
    </row>
    <row r="184">
      <c r="A184" s="1"/>
    </row>
    <row r="185">
      <c r="A185" s="1"/>
    </row>
    <row r="186">
      <c r="A186" s="1"/>
    </row>
    <row r="187">
      <c r="A187" s="1"/>
    </row>
    <row r="188">
      <c r="A188" s="1"/>
    </row>
    <row r="189">
      <c r="A189" s="1"/>
    </row>
    <row r="190">
      <c r="A190" s="1"/>
    </row>
    <row r="191">
      <c r="A191" s="1"/>
    </row>
    <row r="192">
      <c r="A192" s="1"/>
    </row>
    <row r="193">
      <c r="A193" s="1"/>
    </row>
    <row r="194">
      <c r="A194" s="1"/>
    </row>
    <row r="195">
      <c r="A195" s="1"/>
    </row>
    <row r="196">
      <c r="A196" s="1"/>
    </row>
    <row r="197">
      <c r="A197" s="1"/>
    </row>
    <row r="198">
      <c r="A198" s="1"/>
    </row>
    <row r="199">
      <c r="A199" s="1"/>
    </row>
    <row r="200">
      <c r="A200" s="1"/>
    </row>
    <row r="201">
      <c r="A201" s="1"/>
    </row>
    <row r="202">
      <c r="A202" s="1"/>
    </row>
    <row r="203">
      <c r="A203" s="1"/>
    </row>
    <row r="204">
      <c r="A204" s="1"/>
    </row>
    <row r="205">
      <c r="A205" s="1"/>
    </row>
    <row r="206">
      <c r="A206" s="1"/>
    </row>
    <row r="207">
      <c r="A207" s="1"/>
    </row>
    <row r="208">
      <c r="A208" s="1"/>
    </row>
    <row r="209">
      <c r="A209" s="1"/>
    </row>
    <row r="210">
      <c r="A210" s="1"/>
    </row>
    <row r="211">
      <c r="A211" s="1"/>
    </row>
    <row r="212">
      <c r="A212" s="1"/>
    </row>
    <row r="213">
      <c r="A213" s="1"/>
    </row>
    <row r="214">
      <c r="A214" s="1"/>
    </row>
    <row r="215">
      <c r="A215" s="1"/>
    </row>
    <row r="216">
      <c r="A216" s="1"/>
    </row>
    <row r="217">
      <c r="A217" s="1"/>
    </row>
    <row r="218">
      <c r="A218" s="1"/>
    </row>
    <row r="219">
      <c r="A219" s="1"/>
    </row>
    <row r="220">
      <c r="A220" s="1"/>
    </row>
    <row r="221">
      <c r="A221" s="1"/>
    </row>
    <row r="222">
      <c r="A222" s="1"/>
    </row>
    <row r="223">
      <c r="A223" s="1"/>
    </row>
    <row r="224">
      <c r="A224" s="1"/>
    </row>
    <row r="225">
      <c r="A225" s="1"/>
    </row>
    <row r="226">
      <c r="A226" s="1"/>
    </row>
    <row r="227">
      <c r="A227" s="1"/>
    </row>
    <row r="228">
      <c r="A228" s="1"/>
    </row>
    <row r="229">
      <c r="A229" s="1"/>
    </row>
    <row r="230">
      <c r="A230" s="1"/>
    </row>
    <row r="231">
      <c r="A231" s="1"/>
    </row>
    <row r="232">
      <c r="A232" s="1"/>
    </row>
    <row r="233">
      <c r="A233" s="1"/>
    </row>
    <row r="234">
      <c r="A234" s="1"/>
    </row>
    <row r="235">
      <c r="A235" s="1"/>
    </row>
    <row r="236">
      <c r="A236" s="1"/>
    </row>
    <row r="237">
      <c r="A237" s="1"/>
    </row>
    <row r="238">
      <c r="A238" s="1"/>
    </row>
    <row r="239">
      <c r="A239" s="1"/>
    </row>
    <row r="240">
      <c r="A240" s="1"/>
    </row>
    <row r="241">
      <c r="A241" s="1"/>
    </row>
    <row r="242">
      <c r="A242" s="1"/>
    </row>
    <row r="243">
      <c r="A243" s="1"/>
    </row>
    <row r="244">
      <c r="A244" s="1"/>
    </row>
    <row r="245">
      <c r="A245" s="1"/>
    </row>
    <row r="246">
      <c r="A246" s="1"/>
    </row>
    <row r="247">
      <c r="A247" s="1"/>
    </row>
    <row r="248">
      <c r="A248" s="1"/>
    </row>
    <row r="249">
      <c r="A249" s="1"/>
    </row>
    <row r="250">
      <c r="A250" s="1"/>
    </row>
    <row r="251">
      <c r="A251" s="1"/>
    </row>
    <row r="252">
      <c r="A252" s="1"/>
    </row>
    <row r="253">
      <c r="A253" s="1"/>
    </row>
    <row r="254">
      <c r="A254" s="1"/>
    </row>
    <row r="255">
      <c r="A255" s="1"/>
    </row>
    <row r="256">
      <c r="A256" s="1"/>
    </row>
    <row r="257">
      <c r="A257" s="1"/>
    </row>
    <row r="258">
      <c r="A258" s="1"/>
    </row>
    <row r="259">
      <c r="A259" s="1"/>
    </row>
    <row r="260">
      <c r="A260" s="1"/>
    </row>
    <row r="261">
      <c r="A261" s="1"/>
    </row>
    <row r="262">
      <c r="A262" s="1"/>
    </row>
    <row r="263">
      <c r="A263" s="1"/>
    </row>
    <row r="264">
      <c r="A264" s="1"/>
    </row>
    <row r="265">
      <c r="A265" s="1"/>
    </row>
    <row r="266">
      <c r="A266" s="1"/>
    </row>
    <row r="267">
      <c r="A267" s="1"/>
    </row>
    <row r="268">
      <c r="A268" s="1"/>
    </row>
    <row r="269">
      <c r="A269" s="1"/>
    </row>
    <row r="270">
      <c r="A270" s="1"/>
    </row>
    <row r="271">
      <c r="A271" s="1"/>
    </row>
    <row r="272">
      <c r="A272" s="1"/>
    </row>
    <row r="273">
      <c r="A273" s="1"/>
    </row>
    <row r="274">
      <c r="A274" s="1"/>
    </row>
    <row r="275">
      <c r="A275" s="1"/>
    </row>
    <row r="276">
      <c r="A276" s="1"/>
    </row>
    <row r="277">
      <c r="A277" s="1"/>
    </row>
    <row r="278">
      <c r="A278" s="1"/>
    </row>
    <row r="279">
      <c r="A279" s="1"/>
    </row>
    <row r="280">
      <c r="A280" s="1"/>
    </row>
    <row r="281">
      <c r="A281" s="1"/>
    </row>
    <row r="282">
      <c r="A282" s="1"/>
    </row>
    <row r="283">
      <c r="A283" s="1"/>
    </row>
    <row r="284">
      <c r="A284" s="1"/>
    </row>
    <row r="285">
      <c r="A285" s="1"/>
    </row>
    <row r="286">
      <c r="A286" s="1"/>
    </row>
    <row r="287">
      <c r="A287" s="1"/>
    </row>
    <row r="288">
      <c r="A288" s="1"/>
    </row>
    <row r="289">
      <c r="A289" s="1"/>
    </row>
    <row r="290">
      <c r="A290" s="1"/>
    </row>
    <row r="291">
      <c r="A291" s="1"/>
    </row>
    <row r="292">
      <c r="A292" s="1"/>
    </row>
    <row r="293">
      <c r="A293" s="1"/>
    </row>
    <row r="294">
      <c r="A294" s="1"/>
    </row>
    <row r="295">
      <c r="A295" s="1"/>
    </row>
    <row r="296">
      <c r="A296" s="1"/>
    </row>
    <row r="297">
      <c r="A297" s="1"/>
    </row>
    <row r="298">
      <c r="A298" s="1"/>
    </row>
    <row r="299">
      <c r="A299" s="1"/>
    </row>
    <row r="300">
      <c r="A300" s="1"/>
    </row>
    <row r="301">
      <c r="A301" s="1"/>
    </row>
    <row r="302">
      <c r="A302" s="1"/>
    </row>
    <row r="303">
      <c r="A303" s="1"/>
    </row>
    <row r="304">
      <c r="A304" s="1"/>
    </row>
    <row r="305">
      <c r="A305" s="1"/>
    </row>
    <row r="306">
      <c r="A306" s="1"/>
    </row>
    <row r="307">
      <c r="A307" s="1"/>
    </row>
    <row r="308">
      <c r="A308" s="1"/>
    </row>
    <row r="309">
      <c r="A309" s="1"/>
    </row>
    <row r="310">
      <c r="A310" s="1"/>
    </row>
    <row r="311">
      <c r="A311" s="1"/>
    </row>
    <row r="312">
      <c r="A312" s="1"/>
    </row>
    <row r="313">
      <c r="A313" s="1"/>
    </row>
    <row r="314">
      <c r="A314" s="1"/>
    </row>
    <row r="315">
      <c r="A315" s="1"/>
    </row>
    <row r="316">
      <c r="A316" s="1"/>
    </row>
    <row r="317">
      <c r="A317" s="1"/>
    </row>
    <row r="318">
      <c r="A318" s="1"/>
    </row>
    <row r="319">
      <c r="A319" s="1"/>
    </row>
    <row r="320">
      <c r="A320" s="1"/>
    </row>
    <row r="321">
      <c r="A321" s="1"/>
    </row>
    <row r="322">
      <c r="A322" s="1"/>
    </row>
    <row r="323">
      <c r="A323" s="1"/>
    </row>
    <row r="324">
      <c r="A324" s="1"/>
    </row>
    <row r="325">
      <c r="A325" s="1"/>
    </row>
    <row r="326">
      <c r="A326" s="1"/>
    </row>
    <row r="327">
      <c r="A327" s="1"/>
    </row>
    <row r="328">
      <c r="A328" s="1"/>
    </row>
    <row r="329">
      <c r="A329" s="1"/>
    </row>
    <row r="330">
      <c r="A330" s="1"/>
    </row>
    <row r="331">
      <c r="A331" s="1"/>
    </row>
    <row r="332">
      <c r="A332" s="1"/>
    </row>
    <row r="333">
      <c r="A333" s="1"/>
    </row>
    <row r="334">
      <c r="A334" s="1"/>
    </row>
    <row r="335">
      <c r="A335" s="1"/>
    </row>
    <row r="336">
      <c r="A336" s="1"/>
    </row>
    <row r="337">
      <c r="A337" s="1"/>
    </row>
    <row r="338">
      <c r="A338" s="1"/>
    </row>
    <row r="339">
      <c r="A339" s="1"/>
    </row>
    <row r="340">
      <c r="A340" s="1"/>
    </row>
    <row r="341">
      <c r="A341" s="1"/>
    </row>
    <row r="342">
      <c r="A342" s="1"/>
    </row>
    <row r="343">
      <c r="A343" s="1"/>
    </row>
    <row r="344">
      <c r="A344" s="1"/>
    </row>
    <row r="345">
      <c r="A345" s="1"/>
    </row>
    <row r="346">
      <c r="A346" s="1"/>
    </row>
    <row r="347">
      <c r="A347" s="1"/>
    </row>
    <row r="348">
      <c r="A348" s="1"/>
    </row>
    <row r="349">
      <c r="A349" s="1"/>
    </row>
    <row r="350">
      <c r="A350" s="1"/>
    </row>
    <row r="351">
      <c r="A351" s="1"/>
    </row>
    <row r="352">
      <c r="A352" s="1"/>
    </row>
    <row r="353">
      <c r="A353" s="1"/>
    </row>
    <row r="354">
      <c r="A354" s="1"/>
    </row>
    <row r="355">
      <c r="A355" s="1"/>
    </row>
    <row r="356">
      <c r="A356" s="1"/>
    </row>
    <row r="357">
      <c r="A357" s="1"/>
    </row>
    <row r="358">
      <c r="A358" s="1"/>
    </row>
    <row r="359">
      <c r="A359" s="1"/>
    </row>
    <row r="360">
      <c r="A360" s="1"/>
    </row>
    <row r="361">
      <c r="A361" s="1"/>
    </row>
    <row r="362">
      <c r="A362" s="1"/>
    </row>
    <row r="363">
      <c r="A363" s="1"/>
    </row>
    <row r="364">
      <c r="A364" s="1"/>
    </row>
    <row r="365">
      <c r="A365" s="1"/>
    </row>
    <row r="366">
      <c r="A366" s="1"/>
    </row>
    <row r="367">
      <c r="A367" s="1"/>
    </row>
    <row r="368">
      <c r="A368" s="1"/>
    </row>
    <row r="369">
      <c r="A369" s="1"/>
    </row>
    <row r="370">
      <c r="A370" s="1"/>
    </row>
    <row r="371">
      <c r="A371" s="1"/>
    </row>
    <row r="372">
      <c r="A372" s="1"/>
    </row>
    <row r="373">
      <c r="A373" s="1"/>
    </row>
    <row r="374">
      <c r="A374" s="1"/>
    </row>
    <row r="375">
      <c r="A375" s="1"/>
    </row>
    <row r="376">
      <c r="A376" s="1"/>
    </row>
    <row r="377">
      <c r="A377" s="1"/>
    </row>
    <row r="378">
      <c r="A378" s="1"/>
    </row>
    <row r="379">
      <c r="A379" s="1"/>
    </row>
    <row r="380">
      <c r="A380" s="1"/>
    </row>
    <row r="381">
      <c r="A381" s="1"/>
    </row>
    <row r="382">
      <c r="A382" s="1"/>
    </row>
    <row r="383">
      <c r="A383" s="1"/>
    </row>
    <row r="384">
      <c r="A384" s="1"/>
    </row>
    <row r="385">
      <c r="A385" s="1"/>
    </row>
    <row r="386">
      <c r="A386" s="1"/>
    </row>
    <row r="387">
      <c r="A387" s="1"/>
    </row>
    <row r="388">
      <c r="A388" s="1"/>
    </row>
    <row r="389">
      <c r="A389" s="1"/>
    </row>
    <row r="390">
      <c r="A390" s="1"/>
    </row>
    <row r="391">
      <c r="A391" s="1"/>
    </row>
    <row r="392">
      <c r="A392" s="1"/>
    </row>
    <row r="393">
      <c r="A393" s="1"/>
    </row>
    <row r="394">
      <c r="A394" s="1"/>
    </row>
    <row r="395">
      <c r="A395" s="1"/>
    </row>
    <row r="396">
      <c r="A396" s="1"/>
    </row>
    <row r="397">
      <c r="A397" s="1"/>
    </row>
    <row r="398">
      <c r="A398" s="1"/>
    </row>
    <row r="399">
      <c r="A399" s="1"/>
    </row>
    <row r="400">
      <c r="A400" s="1"/>
    </row>
    <row r="401">
      <c r="A401" s="1"/>
    </row>
    <row r="402">
      <c r="A402" s="1"/>
    </row>
    <row r="403">
      <c r="A403" s="1"/>
    </row>
    <row r="404">
      <c r="A404" s="1"/>
    </row>
    <row r="405">
      <c r="A405" s="1"/>
    </row>
    <row r="406">
      <c r="A406" s="1"/>
    </row>
    <row r="407">
      <c r="A407" s="1"/>
    </row>
    <row r="408">
      <c r="A408" s="1"/>
    </row>
    <row r="409">
      <c r="A409" s="1"/>
    </row>
    <row r="410">
      <c r="A410" s="1"/>
    </row>
    <row r="411">
      <c r="A411" s="1"/>
    </row>
    <row r="412">
      <c r="A412" s="1"/>
    </row>
    <row r="413">
      <c r="A413" s="1"/>
    </row>
    <row r="414">
      <c r="A414" s="1"/>
    </row>
    <row r="415">
      <c r="A415" s="1"/>
    </row>
    <row r="416">
      <c r="A416" s="1"/>
    </row>
    <row r="417">
      <c r="A417" s="1"/>
    </row>
    <row r="418">
      <c r="A418" s="1"/>
    </row>
    <row r="419">
      <c r="A419" s="1"/>
    </row>
    <row r="420">
      <c r="A420" s="1"/>
    </row>
    <row r="421">
      <c r="A421" s="1"/>
    </row>
    <row r="422">
      <c r="A422" s="1"/>
    </row>
    <row r="423">
      <c r="A423" s="1"/>
    </row>
    <row r="424">
      <c r="A424" s="1"/>
    </row>
    <row r="425">
      <c r="A425" s="1"/>
    </row>
    <row r="426">
      <c r="A426" s="1"/>
    </row>
    <row r="427">
      <c r="A427" s="1"/>
    </row>
    <row r="428">
      <c r="A428" s="1"/>
    </row>
    <row r="429">
      <c r="A429" s="1"/>
    </row>
    <row r="430">
      <c r="A430" s="1"/>
    </row>
    <row r="431">
      <c r="A431" s="1"/>
    </row>
    <row r="432">
      <c r="A432" s="1"/>
    </row>
    <row r="433">
      <c r="A433" s="1"/>
    </row>
    <row r="434">
      <c r="A434" s="1"/>
    </row>
    <row r="435">
      <c r="A435" s="1"/>
    </row>
    <row r="436">
      <c r="A436" s="1"/>
    </row>
    <row r="437">
      <c r="A437" s="1"/>
    </row>
    <row r="438">
      <c r="A438" s="1"/>
    </row>
    <row r="439">
      <c r="A439" s="1"/>
    </row>
    <row r="440">
      <c r="A440" s="1"/>
    </row>
    <row r="441">
      <c r="A441" s="1"/>
    </row>
    <row r="442">
      <c r="A442" s="1"/>
    </row>
    <row r="443">
      <c r="A443" s="1"/>
    </row>
    <row r="444">
      <c r="A444" s="1"/>
    </row>
    <row r="445">
      <c r="A445" s="1"/>
    </row>
    <row r="446">
      <c r="A446" s="1"/>
    </row>
    <row r="447">
      <c r="A447" s="1"/>
    </row>
    <row r="448">
      <c r="A448" s="1"/>
    </row>
    <row r="449">
      <c r="A449" s="1"/>
    </row>
    <row r="450">
      <c r="A450" s="1"/>
    </row>
    <row r="451">
      <c r="A451" s="1"/>
    </row>
    <row r="452">
      <c r="A452" s="1"/>
    </row>
    <row r="453">
      <c r="A453" s="1"/>
    </row>
    <row r="454">
      <c r="A454" s="1"/>
    </row>
    <row r="455">
      <c r="A455" s="1"/>
    </row>
    <row r="456">
      <c r="A456" s="1"/>
    </row>
    <row r="457">
      <c r="A457" s="1"/>
    </row>
    <row r="458">
      <c r="A458" s="1"/>
    </row>
    <row r="459">
      <c r="A459" s="1"/>
    </row>
    <row r="460">
      <c r="A460" s="1"/>
    </row>
    <row r="461">
      <c r="A461" s="1"/>
    </row>
    <row r="462">
      <c r="A462" s="1"/>
    </row>
    <row r="463">
      <c r="A463" s="1"/>
    </row>
    <row r="464">
      <c r="A464" s="1"/>
    </row>
    <row r="465">
      <c r="A465" s="1"/>
    </row>
    <row r="466">
      <c r="A466" s="1"/>
    </row>
    <row r="467">
      <c r="A467" s="1"/>
    </row>
    <row r="468">
      <c r="A468" s="1"/>
    </row>
    <row r="469">
      <c r="A469" s="1"/>
    </row>
    <row r="470">
      <c r="A470" s="1"/>
    </row>
    <row r="471">
      <c r="A471" s="1"/>
    </row>
    <row r="472">
      <c r="A472" s="1"/>
    </row>
    <row r="473">
      <c r="A473" s="1"/>
    </row>
    <row r="474">
      <c r="A474" s="1"/>
    </row>
    <row r="475">
      <c r="A475" s="1"/>
    </row>
    <row r="476">
      <c r="A476" s="1"/>
    </row>
    <row r="477">
      <c r="A477" s="1"/>
    </row>
    <row r="478">
      <c r="A478" s="1"/>
    </row>
    <row r="479">
      <c r="A479" s="1"/>
    </row>
    <row r="480">
      <c r="A480" s="1"/>
    </row>
    <row r="481">
      <c r="A481" s="1"/>
    </row>
    <row r="482">
      <c r="A482" s="1"/>
    </row>
    <row r="483">
      <c r="A483" s="1"/>
    </row>
    <row r="484">
      <c r="A484" s="1"/>
    </row>
    <row r="485">
      <c r="A485" s="1"/>
    </row>
    <row r="486">
      <c r="A486" s="1"/>
    </row>
    <row r="487">
      <c r="A487" s="1"/>
    </row>
    <row r="488">
      <c r="A488" s="1"/>
    </row>
    <row r="489">
      <c r="A489" s="1"/>
    </row>
    <row r="490">
      <c r="A490" s="1"/>
    </row>
    <row r="491">
      <c r="A491" s="1"/>
    </row>
    <row r="492">
      <c r="A492" s="1"/>
    </row>
    <row r="493">
      <c r="A493" s="1"/>
    </row>
    <row r="494">
      <c r="A494" s="1"/>
    </row>
    <row r="495">
      <c r="A495" s="1"/>
    </row>
    <row r="496">
      <c r="A496" s="1"/>
    </row>
    <row r="497">
      <c r="A497" s="1"/>
    </row>
    <row r="498">
      <c r="A498" s="1"/>
    </row>
    <row r="499">
      <c r="A499" s="1"/>
    </row>
    <row r="500">
      <c r="A500" s="1"/>
    </row>
    <row r="501">
      <c r="A501" s="1"/>
    </row>
    <row r="502">
      <c r="A502" s="1"/>
    </row>
    <row r="503">
      <c r="A503" s="1"/>
    </row>
    <row r="504">
      <c r="A504" s="1"/>
    </row>
    <row r="505">
      <c r="A505" s="1"/>
    </row>
    <row r="506">
      <c r="A506" s="1"/>
    </row>
    <row r="507">
      <c r="A507" s="1"/>
    </row>
    <row r="508">
      <c r="A508" s="1"/>
    </row>
    <row r="509">
      <c r="A509" s="1"/>
    </row>
    <row r="510">
      <c r="A510" s="1"/>
    </row>
    <row r="511">
      <c r="A511" s="1"/>
    </row>
    <row r="512">
      <c r="A512" s="1"/>
    </row>
    <row r="513">
      <c r="A513" s="1"/>
    </row>
    <row r="514">
      <c r="A514" s="1"/>
    </row>
    <row r="515">
      <c r="A515" s="1"/>
    </row>
    <row r="516">
      <c r="A516" s="1"/>
    </row>
    <row r="517">
      <c r="A517" s="1"/>
    </row>
    <row r="518">
      <c r="A518" s="1"/>
    </row>
    <row r="519">
      <c r="A519" s="1"/>
    </row>
    <row r="520">
      <c r="A520" s="1"/>
    </row>
    <row r="521">
      <c r="A521" s="1"/>
    </row>
    <row r="522">
      <c r="A522" s="1"/>
    </row>
    <row r="523">
      <c r="A523" s="1"/>
    </row>
    <row r="524">
      <c r="A524" s="1"/>
    </row>
    <row r="525">
      <c r="A525" s="1"/>
    </row>
    <row r="526">
      <c r="A526" s="1"/>
    </row>
    <row r="527">
      <c r="A527" s="1"/>
    </row>
    <row r="528">
      <c r="A528" s="1"/>
    </row>
    <row r="529">
      <c r="A529" s="1"/>
    </row>
    <row r="530">
      <c r="A530" s="1"/>
    </row>
    <row r="531">
      <c r="A531" s="1"/>
    </row>
    <row r="532">
      <c r="A532" s="1"/>
    </row>
    <row r="533">
      <c r="A533" s="1"/>
    </row>
    <row r="534">
      <c r="A534" s="1"/>
    </row>
    <row r="535">
      <c r="A535" s="1"/>
    </row>
    <row r="536">
      <c r="A536" s="1"/>
    </row>
    <row r="537">
      <c r="A537" s="1"/>
    </row>
    <row r="538">
      <c r="A538" s="1"/>
    </row>
    <row r="539">
      <c r="A539" s="1"/>
    </row>
    <row r="540">
      <c r="A540" s="1"/>
    </row>
    <row r="541">
      <c r="A541" s="1"/>
    </row>
    <row r="542">
      <c r="A542" s="1"/>
    </row>
    <row r="543">
      <c r="A543" s="1"/>
    </row>
    <row r="544">
      <c r="A544" s="1"/>
    </row>
    <row r="545">
      <c r="A545" s="1"/>
    </row>
    <row r="546">
      <c r="A546" s="1"/>
    </row>
    <row r="547">
      <c r="A547" s="1"/>
    </row>
    <row r="548">
      <c r="A548" s="1"/>
    </row>
    <row r="549">
      <c r="A549" s="1"/>
    </row>
    <row r="550">
      <c r="A550" s="1"/>
    </row>
    <row r="551">
      <c r="A551" s="1"/>
    </row>
    <row r="552">
      <c r="A552" s="1"/>
    </row>
    <row r="553">
      <c r="A553" s="1"/>
    </row>
    <row r="554">
      <c r="A554" s="1"/>
    </row>
    <row r="555">
      <c r="A555" s="1"/>
    </row>
    <row r="556">
      <c r="A556" s="1"/>
    </row>
    <row r="557">
      <c r="A557" s="1"/>
    </row>
    <row r="558">
      <c r="A558" s="1"/>
    </row>
    <row r="559">
      <c r="A559" s="1"/>
    </row>
    <row r="560">
      <c r="A560" s="1"/>
    </row>
    <row r="561">
      <c r="A561" s="1"/>
    </row>
    <row r="562">
      <c r="A562" s="1"/>
    </row>
    <row r="563">
      <c r="A563" s="1"/>
    </row>
    <row r="564">
      <c r="A564" s="1"/>
    </row>
    <row r="565">
      <c r="A565" s="1"/>
    </row>
    <row r="566">
      <c r="A566" s="1"/>
    </row>
    <row r="567">
      <c r="A567" s="1"/>
    </row>
    <row r="568">
      <c r="A568" s="1"/>
    </row>
    <row r="569">
      <c r="A569" s="1"/>
    </row>
    <row r="570">
      <c r="A570" s="1"/>
    </row>
    <row r="571">
      <c r="A571" s="1"/>
    </row>
    <row r="572">
      <c r="A572" s="1"/>
    </row>
    <row r="573">
      <c r="A573" s="1"/>
    </row>
    <row r="574">
      <c r="A574" s="1"/>
    </row>
    <row r="575">
      <c r="A575" s="1"/>
    </row>
    <row r="576">
      <c r="A576" s="1"/>
    </row>
    <row r="577">
      <c r="A577" s="1"/>
    </row>
    <row r="578">
      <c r="A578" s="1"/>
    </row>
    <row r="579">
      <c r="A579" s="1"/>
    </row>
    <row r="580">
      <c r="A580" s="1"/>
    </row>
    <row r="581">
      <c r="A581" s="1"/>
    </row>
    <row r="582">
      <c r="A582" s="1"/>
    </row>
    <row r="583">
      <c r="A583" s="1"/>
    </row>
    <row r="584">
      <c r="A584" s="1"/>
    </row>
    <row r="585">
      <c r="A585" s="1"/>
    </row>
    <row r="586">
      <c r="A586" s="1"/>
    </row>
    <row r="587">
      <c r="A587" s="1"/>
    </row>
    <row r="588">
      <c r="A588" s="1"/>
    </row>
    <row r="589">
      <c r="A589" s="1"/>
    </row>
    <row r="590">
      <c r="A590" s="1"/>
    </row>
    <row r="591">
      <c r="A591" s="1"/>
    </row>
    <row r="592">
      <c r="A592" s="1"/>
    </row>
    <row r="593">
      <c r="A593" s="1"/>
    </row>
    <row r="594">
      <c r="A594" s="1"/>
    </row>
    <row r="595">
      <c r="A595" s="1"/>
    </row>
    <row r="596">
      <c r="A596" s="1"/>
    </row>
    <row r="597">
      <c r="A597" s="1"/>
    </row>
    <row r="598">
      <c r="A598" s="1"/>
    </row>
    <row r="599">
      <c r="A599" s="1"/>
    </row>
    <row r="600">
      <c r="A600" s="1"/>
    </row>
    <row r="601">
      <c r="A601" s="1"/>
    </row>
    <row r="602">
      <c r="A602" s="1"/>
    </row>
    <row r="603">
      <c r="A603" s="1"/>
    </row>
    <row r="604">
      <c r="A604" s="1"/>
    </row>
    <row r="605">
      <c r="A605" s="1"/>
    </row>
    <row r="606">
      <c r="A606" s="1"/>
    </row>
    <row r="607">
      <c r="A607" s="1"/>
    </row>
    <row r="608">
      <c r="A608" s="1"/>
    </row>
    <row r="609">
      <c r="A609" s="1"/>
    </row>
    <row r="610">
      <c r="A610" s="1"/>
    </row>
    <row r="611">
      <c r="A611" s="1"/>
    </row>
    <row r="612">
      <c r="A612" s="1"/>
    </row>
    <row r="613">
      <c r="A613" s="1"/>
    </row>
    <row r="614">
      <c r="A614" s="1"/>
    </row>
    <row r="615">
      <c r="A615" s="1"/>
    </row>
    <row r="616">
      <c r="A616" s="1"/>
    </row>
    <row r="617">
      <c r="A617" s="1"/>
    </row>
    <row r="618">
      <c r="A618" s="1"/>
    </row>
    <row r="619">
      <c r="A619" s="1"/>
    </row>
    <row r="620">
      <c r="A620" s="1"/>
    </row>
    <row r="621">
      <c r="A621" s="1"/>
    </row>
    <row r="622">
      <c r="A622" s="1"/>
    </row>
    <row r="623">
      <c r="A623" s="1"/>
    </row>
    <row r="624">
      <c r="A624" s="1"/>
    </row>
    <row r="625">
      <c r="A625" s="1"/>
    </row>
    <row r="626">
      <c r="A626" s="1"/>
    </row>
    <row r="627">
      <c r="A627" s="1"/>
    </row>
    <row r="628">
      <c r="A628" s="1"/>
    </row>
    <row r="629">
      <c r="A629" s="1"/>
    </row>
    <row r="630">
      <c r="A630" s="1"/>
    </row>
    <row r="631">
      <c r="A631" s="1"/>
    </row>
    <row r="632">
      <c r="A632" s="1"/>
    </row>
    <row r="633">
      <c r="A633" s="1"/>
    </row>
    <row r="634">
      <c r="A634" s="1"/>
    </row>
    <row r="635">
      <c r="A635" s="1"/>
    </row>
    <row r="636">
      <c r="A636" s="1"/>
    </row>
    <row r="637">
      <c r="A637" s="1"/>
    </row>
    <row r="638">
      <c r="A638" s="1"/>
    </row>
    <row r="639">
      <c r="A639" s="1"/>
    </row>
    <row r="640">
      <c r="A640" s="1"/>
    </row>
    <row r="641">
      <c r="A641" s="1"/>
    </row>
    <row r="642">
      <c r="A642" s="1"/>
    </row>
    <row r="643">
      <c r="A643" s="1"/>
    </row>
    <row r="644">
      <c r="A644" s="1"/>
    </row>
    <row r="645">
      <c r="A645" s="1"/>
    </row>
    <row r="646">
      <c r="A646" s="1"/>
    </row>
    <row r="647">
      <c r="A647" s="1"/>
    </row>
    <row r="648">
      <c r="A648" s="1"/>
    </row>
    <row r="649">
      <c r="A649" s="1"/>
    </row>
    <row r="650">
      <c r="A650" s="1"/>
    </row>
    <row r="651">
      <c r="A651" s="1"/>
    </row>
    <row r="652">
      <c r="A652" s="1"/>
    </row>
    <row r="653">
      <c r="A653" s="1"/>
    </row>
    <row r="654">
      <c r="A654" s="1"/>
    </row>
    <row r="655">
      <c r="A655" s="1"/>
    </row>
    <row r="656">
      <c r="A656" s="1"/>
    </row>
    <row r="657">
      <c r="A657" s="1"/>
    </row>
    <row r="658">
      <c r="A658" s="1"/>
    </row>
    <row r="659">
      <c r="A659" s="1"/>
    </row>
    <row r="660">
      <c r="A660" s="1"/>
    </row>
    <row r="661">
      <c r="A661" s="1"/>
    </row>
    <row r="662">
      <c r="A662" s="1"/>
    </row>
    <row r="663">
      <c r="A663" s="1"/>
    </row>
    <row r="664">
      <c r="A664" s="1"/>
    </row>
    <row r="665">
      <c r="A665" s="1"/>
    </row>
    <row r="666">
      <c r="A666" s="1"/>
    </row>
    <row r="667">
      <c r="A667" s="1"/>
    </row>
    <row r="668">
      <c r="A668" s="1"/>
    </row>
    <row r="669">
      <c r="A669" s="1"/>
    </row>
    <row r="670">
      <c r="A670" s="1"/>
    </row>
    <row r="671">
      <c r="A671" s="1"/>
    </row>
    <row r="672">
      <c r="A672" s="1"/>
    </row>
    <row r="673">
      <c r="A673" s="1"/>
    </row>
    <row r="674">
      <c r="A674" s="1"/>
    </row>
    <row r="675">
      <c r="A675" s="1"/>
    </row>
    <row r="676">
      <c r="A676" s="1"/>
    </row>
    <row r="677">
      <c r="A677" s="1"/>
    </row>
    <row r="678">
      <c r="A678" s="1"/>
    </row>
    <row r="679">
      <c r="A679" s="1"/>
    </row>
    <row r="680">
      <c r="A680" s="1"/>
    </row>
    <row r="681">
      <c r="A681" s="1"/>
    </row>
    <row r="682">
      <c r="A682" s="1"/>
    </row>
    <row r="683">
      <c r="A683" s="1"/>
    </row>
    <row r="684">
      <c r="A684" s="1"/>
    </row>
    <row r="685">
      <c r="A685" s="1"/>
    </row>
    <row r="686">
      <c r="A686" s="1"/>
    </row>
    <row r="687">
      <c r="A687" s="1"/>
    </row>
    <row r="688">
      <c r="A688" s="1"/>
    </row>
    <row r="689">
      <c r="A689" s="1"/>
    </row>
    <row r="690">
      <c r="A690" s="1"/>
    </row>
    <row r="691">
      <c r="A691" s="1"/>
    </row>
    <row r="692">
      <c r="A692" s="1"/>
    </row>
    <row r="693">
      <c r="A693" s="1"/>
    </row>
    <row r="694">
      <c r="A694" s="1"/>
    </row>
    <row r="695">
      <c r="A695" s="1"/>
    </row>
    <row r="696">
      <c r="A696" s="1"/>
    </row>
    <row r="697">
      <c r="A697" s="1"/>
    </row>
    <row r="698">
      <c r="A698" s="1"/>
    </row>
    <row r="699">
      <c r="A699" s="1"/>
    </row>
    <row r="700">
      <c r="A700" s="1"/>
    </row>
    <row r="701">
      <c r="A701" s="1"/>
    </row>
    <row r="702">
      <c r="A702" s="1"/>
    </row>
    <row r="703">
      <c r="A703" s="1"/>
    </row>
    <row r="704">
      <c r="A704" s="1"/>
    </row>
    <row r="705">
      <c r="A705" s="1"/>
    </row>
    <row r="706">
      <c r="A706" s="1"/>
    </row>
    <row r="707">
      <c r="A707" s="1"/>
    </row>
    <row r="708">
      <c r="A708" s="1"/>
    </row>
    <row r="709">
      <c r="A709" s="1"/>
    </row>
    <row r="710">
      <c r="A710" s="1"/>
    </row>
    <row r="711">
      <c r="A711" s="1"/>
    </row>
    <row r="712">
      <c r="A712" s="1"/>
    </row>
    <row r="713">
      <c r="A713" s="1"/>
    </row>
    <row r="714">
      <c r="A714" s="1"/>
    </row>
    <row r="715">
      <c r="A715" s="1"/>
    </row>
    <row r="716">
      <c r="A716" s="1"/>
    </row>
    <row r="717">
      <c r="A717" s="1"/>
    </row>
    <row r="718">
      <c r="A718" s="1"/>
    </row>
    <row r="719">
      <c r="A719" s="1"/>
    </row>
    <row r="720">
      <c r="A720" s="1"/>
    </row>
    <row r="721">
      <c r="A721" s="1"/>
    </row>
    <row r="722">
      <c r="A722" s="1"/>
    </row>
    <row r="723">
      <c r="A723" s="1"/>
    </row>
    <row r="724">
      <c r="A724" s="1"/>
    </row>
    <row r="725">
      <c r="A725" s="1"/>
    </row>
    <row r="726">
      <c r="A726" s="1"/>
    </row>
    <row r="727">
      <c r="A727" s="1"/>
    </row>
    <row r="728">
      <c r="A728" s="1"/>
    </row>
    <row r="729">
      <c r="A729" s="1"/>
    </row>
    <row r="730">
      <c r="A730" s="1"/>
    </row>
    <row r="731">
      <c r="A731" s="1"/>
    </row>
    <row r="732">
      <c r="A732" s="1"/>
    </row>
    <row r="733">
      <c r="A733" s="1"/>
    </row>
    <row r="734">
      <c r="A734" s="1"/>
    </row>
    <row r="735">
      <c r="A735" s="1"/>
    </row>
    <row r="736">
      <c r="A736" s="1"/>
    </row>
    <row r="737">
      <c r="A737" s="1"/>
    </row>
    <row r="738">
      <c r="A738" s="1"/>
    </row>
    <row r="739">
      <c r="A739" s="1"/>
    </row>
    <row r="740">
      <c r="A740" s="1"/>
    </row>
    <row r="741">
      <c r="A741" s="1"/>
    </row>
    <row r="742">
      <c r="A742" s="1"/>
    </row>
    <row r="743">
      <c r="A743" s="1"/>
    </row>
    <row r="744">
      <c r="A744" s="1"/>
    </row>
    <row r="745">
      <c r="A745" s="1"/>
    </row>
    <row r="746">
      <c r="A746" s="1"/>
    </row>
    <row r="747">
      <c r="A747" s="1"/>
    </row>
    <row r="748">
      <c r="A748" s="1"/>
    </row>
    <row r="749">
      <c r="A749" s="1"/>
    </row>
    <row r="750">
      <c r="A750" s="1"/>
    </row>
    <row r="751">
      <c r="A751" s="1"/>
    </row>
    <row r="752">
      <c r="A752" s="1"/>
    </row>
    <row r="753">
      <c r="A753" s="1"/>
    </row>
    <row r="754">
      <c r="A754" s="1"/>
    </row>
    <row r="755">
      <c r="A755" s="1"/>
    </row>
    <row r="756">
      <c r="A756" s="1"/>
    </row>
    <row r="757">
      <c r="A757" s="1"/>
    </row>
    <row r="758">
      <c r="A758" s="1"/>
    </row>
    <row r="759">
      <c r="A759" s="1"/>
    </row>
    <row r="760">
      <c r="A760" s="1"/>
    </row>
    <row r="761">
      <c r="A761" s="1"/>
    </row>
    <row r="762">
      <c r="A762" s="1"/>
    </row>
    <row r="763">
      <c r="A763" s="1"/>
    </row>
    <row r="764">
      <c r="A764" s="1"/>
    </row>
    <row r="765">
      <c r="A765" s="1"/>
    </row>
    <row r="766">
      <c r="A766" s="1"/>
    </row>
    <row r="767">
      <c r="A767" s="1"/>
    </row>
    <row r="768">
      <c r="A768" s="1"/>
    </row>
    <row r="769">
      <c r="A769" s="1"/>
    </row>
    <row r="770">
      <c r="A770" s="1"/>
    </row>
    <row r="771">
      <c r="A771" s="1"/>
    </row>
    <row r="772">
      <c r="A772" s="1"/>
    </row>
    <row r="773">
      <c r="A773" s="1"/>
    </row>
    <row r="774">
      <c r="A774" s="1"/>
    </row>
    <row r="775">
      <c r="A775" s="1"/>
    </row>
    <row r="776">
      <c r="A776" s="1"/>
    </row>
    <row r="777">
      <c r="A777" s="1"/>
    </row>
    <row r="778">
      <c r="A778" s="1"/>
    </row>
    <row r="779">
      <c r="A779" s="1"/>
    </row>
    <row r="780">
      <c r="A780" s="1"/>
    </row>
    <row r="781">
      <c r="A781" s="1"/>
    </row>
    <row r="782">
      <c r="A782" s="1"/>
    </row>
    <row r="783">
      <c r="A783" s="1"/>
    </row>
    <row r="784">
      <c r="A784" s="1"/>
    </row>
    <row r="785">
      <c r="A785" s="1"/>
    </row>
    <row r="786">
      <c r="A786" s="1"/>
    </row>
    <row r="787">
      <c r="A787" s="1"/>
    </row>
    <row r="788">
      <c r="A788" s="1"/>
    </row>
    <row r="789">
      <c r="A789" s="1"/>
    </row>
    <row r="790">
      <c r="A790" s="1"/>
    </row>
    <row r="791">
      <c r="A791" s="1"/>
    </row>
    <row r="792">
      <c r="A792" s="1"/>
    </row>
    <row r="793">
      <c r="A793" s="1"/>
    </row>
    <row r="794">
      <c r="A794" s="1"/>
    </row>
    <row r="795">
      <c r="A795" s="1"/>
    </row>
    <row r="796">
      <c r="A796" s="1"/>
    </row>
    <row r="797">
      <c r="A797" s="1"/>
    </row>
    <row r="798">
      <c r="A798" s="1"/>
    </row>
    <row r="799">
      <c r="A799" s="1"/>
    </row>
    <row r="800">
      <c r="A800" s="1"/>
    </row>
    <row r="801">
      <c r="A801" s="1"/>
    </row>
    <row r="802">
      <c r="A802" s="1"/>
    </row>
    <row r="803">
      <c r="A803" s="1"/>
    </row>
    <row r="804">
      <c r="A804" s="1"/>
    </row>
    <row r="805">
      <c r="A805" s="1"/>
    </row>
    <row r="806">
      <c r="A806" s="1"/>
    </row>
    <row r="807">
      <c r="A807" s="1"/>
    </row>
    <row r="808">
      <c r="A808" s="1"/>
    </row>
    <row r="809">
      <c r="A809" s="1"/>
    </row>
    <row r="810">
      <c r="A810" s="1"/>
    </row>
    <row r="811">
      <c r="A811" s="1"/>
    </row>
    <row r="812">
      <c r="A812" s="1"/>
    </row>
    <row r="813">
      <c r="A813" s="1"/>
    </row>
    <row r="814">
      <c r="A814" s="1"/>
    </row>
    <row r="815">
      <c r="A815" s="1"/>
    </row>
    <row r="816">
      <c r="A816" s="1"/>
    </row>
    <row r="817">
      <c r="A817" s="1"/>
    </row>
    <row r="818">
      <c r="A818" s="1"/>
    </row>
    <row r="819">
      <c r="A819" s="1"/>
    </row>
    <row r="820">
      <c r="A820" s="1"/>
    </row>
    <row r="821">
      <c r="A821" s="1"/>
    </row>
    <row r="822">
      <c r="A822" s="1"/>
    </row>
    <row r="823">
      <c r="A823" s="1"/>
    </row>
    <row r="824">
      <c r="A824" s="1"/>
    </row>
    <row r="825">
      <c r="A825" s="1"/>
    </row>
    <row r="826">
      <c r="A826" s="1"/>
    </row>
    <row r="827">
      <c r="A827" s="1"/>
    </row>
    <row r="828">
      <c r="A828" s="1"/>
    </row>
    <row r="829">
      <c r="A829" s="1"/>
    </row>
    <row r="830">
      <c r="A830" s="1"/>
    </row>
    <row r="831">
      <c r="A831" s="1"/>
    </row>
    <row r="832">
      <c r="A832" s="1"/>
    </row>
    <row r="833">
      <c r="A833" s="1"/>
    </row>
    <row r="834">
      <c r="A834" s="1"/>
    </row>
    <row r="835">
      <c r="A835" s="1"/>
    </row>
    <row r="836">
      <c r="A836" s="1"/>
    </row>
    <row r="837">
      <c r="A837" s="1"/>
    </row>
    <row r="838">
      <c r="A838" s="1"/>
    </row>
    <row r="839">
      <c r="A839" s="1"/>
    </row>
    <row r="840">
      <c r="A840" s="1"/>
    </row>
    <row r="841">
      <c r="A841" s="1"/>
    </row>
    <row r="842">
      <c r="A842" s="1"/>
    </row>
    <row r="843">
      <c r="A843" s="1"/>
    </row>
    <row r="844">
      <c r="A844" s="1"/>
    </row>
    <row r="845">
      <c r="A845" s="1"/>
    </row>
    <row r="846">
      <c r="A846" s="1"/>
    </row>
    <row r="847">
      <c r="A847" s="1"/>
    </row>
    <row r="848">
      <c r="A848" s="1"/>
    </row>
    <row r="849">
      <c r="A849" s="1"/>
    </row>
    <row r="850">
      <c r="A850" s="1"/>
    </row>
    <row r="851">
      <c r="A851" s="1"/>
    </row>
    <row r="852">
      <c r="A852" s="1"/>
    </row>
    <row r="853">
      <c r="A853" s="1"/>
    </row>
    <row r="854">
      <c r="A854" s="1"/>
    </row>
    <row r="855">
      <c r="A855" s="1"/>
    </row>
    <row r="856">
      <c r="A856" s="1"/>
    </row>
    <row r="857">
      <c r="A857" s="1"/>
    </row>
    <row r="858">
      <c r="A858" s="1"/>
    </row>
    <row r="859">
      <c r="A859" s="1"/>
    </row>
    <row r="860">
      <c r="A860" s="1"/>
    </row>
    <row r="861">
      <c r="A861" s="1"/>
    </row>
    <row r="862">
      <c r="A862" s="1"/>
    </row>
    <row r="863">
      <c r="A863" s="1"/>
    </row>
    <row r="864">
      <c r="A864" s="1"/>
    </row>
    <row r="865">
      <c r="A865" s="1"/>
    </row>
    <row r="866">
      <c r="A866" s="1"/>
    </row>
    <row r="867">
      <c r="A867" s="1"/>
    </row>
    <row r="868">
      <c r="A868" s="1"/>
    </row>
    <row r="869">
      <c r="A869" s="1"/>
    </row>
    <row r="870">
      <c r="A870" s="1"/>
    </row>
    <row r="871">
      <c r="A871" s="1"/>
    </row>
    <row r="872">
      <c r="A872" s="1"/>
    </row>
    <row r="873">
      <c r="A873" s="1"/>
    </row>
    <row r="874">
      <c r="A874" s="1"/>
    </row>
    <row r="875">
      <c r="A875" s="1"/>
    </row>
    <row r="876">
      <c r="A876" s="1"/>
    </row>
    <row r="877">
      <c r="A877" s="1"/>
    </row>
    <row r="878">
      <c r="A878" s="1"/>
    </row>
    <row r="879">
      <c r="A879" s="1"/>
    </row>
    <row r="880">
      <c r="A880" s="1"/>
    </row>
    <row r="881">
      <c r="A881" s="1"/>
    </row>
    <row r="882">
      <c r="A882" s="1"/>
    </row>
    <row r="883">
      <c r="A883" s="1"/>
    </row>
    <row r="884">
      <c r="A884" s="1"/>
    </row>
    <row r="885">
      <c r="A885" s="1"/>
    </row>
    <row r="886">
      <c r="A886" s="1"/>
    </row>
    <row r="887">
      <c r="A887" s="1"/>
    </row>
    <row r="888">
      <c r="A888" s="1"/>
    </row>
    <row r="889">
      <c r="A889" s="1"/>
    </row>
    <row r="890">
      <c r="A890" s="1"/>
    </row>
    <row r="891">
      <c r="A891" s="1"/>
    </row>
    <row r="892">
      <c r="A892" s="1"/>
    </row>
    <row r="893">
      <c r="A893" s="1"/>
    </row>
    <row r="894">
      <c r="A894" s="1"/>
    </row>
    <row r="895">
      <c r="A895" s="1"/>
    </row>
    <row r="896">
      <c r="A896" s="1"/>
    </row>
    <row r="897">
      <c r="A897" s="1"/>
    </row>
    <row r="898">
      <c r="A898" s="1"/>
    </row>
    <row r="899">
      <c r="A899" s="1"/>
    </row>
    <row r="900">
      <c r="A900" s="1"/>
    </row>
    <row r="901">
      <c r="A901" s="1"/>
    </row>
    <row r="902">
      <c r="A902" s="1"/>
    </row>
    <row r="903">
      <c r="A903" s="1"/>
    </row>
    <row r="904">
      <c r="A904" s="1"/>
    </row>
    <row r="905">
      <c r="A905" s="1"/>
    </row>
    <row r="906">
      <c r="A906" s="1"/>
    </row>
    <row r="907">
      <c r="A907" s="1"/>
    </row>
    <row r="908">
      <c r="A908" s="1"/>
    </row>
    <row r="909">
      <c r="A909" s="1"/>
    </row>
    <row r="910">
      <c r="A910" s="1"/>
    </row>
    <row r="911">
      <c r="A911" s="1"/>
    </row>
    <row r="912">
      <c r="A912" s="1"/>
    </row>
    <row r="913">
      <c r="A913" s="1"/>
    </row>
    <row r="914">
      <c r="A914" s="1"/>
    </row>
    <row r="915">
      <c r="A915" s="1"/>
    </row>
    <row r="916">
      <c r="A916" s="1"/>
    </row>
    <row r="917">
      <c r="A917" s="1"/>
    </row>
    <row r="918">
      <c r="A918" s="1"/>
    </row>
    <row r="919">
      <c r="A919" s="1"/>
    </row>
    <row r="920">
      <c r="A920" s="1"/>
    </row>
    <row r="921">
      <c r="A921" s="1"/>
    </row>
    <row r="922">
      <c r="A922" s="1"/>
    </row>
    <row r="923">
      <c r="A923" s="1"/>
    </row>
    <row r="924">
      <c r="A924" s="1"/>
    </row>
    <row r="925">
      <c r="A925" s="1"/>
    </row>
    <row r="926">
      <c r="A926" s="1"/>
    </row>
    <row r="927">
      <c r="A927" s="1"/>
    </row>
    <row r="928">
      <c r="A928" s="1"/>
    </row>
    <row r="929">
      <c r="A929" s="1"/>
    </row>
    <row r="930">
      <c r="A930" s="1"/>
    </row>
    <row r="931">
      <c r="A931" s="1"/>
    </row>
    <row r="932">
      <c r="A932" s="1"/>
    </row>
    <row r="933">
      <c r="A933" s="1"/>
    </row>
    <row r="934">
      <c r="A934" s="1"/>
    </row>
    <row r="935">
      <c r="A935" s="1"/>
    </row>
    <row r="936">
      <c r="A936" s="1"/>
    </row>
    <row r="937">
      <c r="A937" s="1"/>
    </row>
    <row r="938">
      <c r="A938" s="1"/>
    </row>
    <row r="939">
      <c r="A939" s="1"/>
    </row>
    <row r="940">
      <c r="A940" s="1"/>
    </row>
    <row r="941">
      <c r="A941" s="1"/>
    </row>
    <row r="942">
      <c r="A942" s="1"/>
    </row>
    <row r="943">
      <c r="A943" s="1"/>
    </row>
    <row r="944">
      <c r="A944" s="1"/>
    </row>
    <row r="945">
      <c r="A945" s="1"/>
    </row>
    <row r="946">
      <c r="A946" s="1"/>
    </row>
    <row r="947">
      <c r="A947" s="1"/>
    </row>
    <row r="948">
      <c r="A948" s="1"/>
    </row>
    <row r="949">
      <c r="A949" s="1"/>
    </row>
    <row r="950">
      <c r="A950" s="1"/>
    </row>
    <row r="951">
      <c r="A951" s="1"/>
    </row>
    <row r="952">
      <c r="A952" s="1"/>
    </row>
    <row r="953">
      <c r="A953" s="1"/>
    </row>
    <row r="954">
      <c r="A954" s="1"/>
    </row>
    <row r="955">
      <c r="A955" s="1"/>
    </row>
    <row r="956">
      <c r="A956" s="1"/>
    </row>
    <row r="957">
      <c r="A957" s="1"/>
    </row>
    <row r="958">
      <c r="A958" s="1"/>
    </row>
    <row r="959">
      <c r="A959" s="1"/>
    </row>
    <row r="960">
      <c r="A960" s="1"/>
    </row>
    <row r="961">
      <c r="A961" s="1"/>
    </row>
    <row r="962">
      <c r="A962" s="1"/>
    </row>
    <row r="963">
      <c r="A963" s="1"/>
    </row>
    <row r="964">
      <c r="A964" s="1"/>
    </row>
    <row r="965">
      <c r="A965" s="1"/>
    </row>
    <row r="966">
      <c r="A966" s="1"/>
    </row>
    <row r="967">
      <c r="A967" s="1"/>
    </row>
    <row r="968">
      <c r="A968" s="1"/>
    </row>
    <row r="969">
      <c r="A969" s="1"/>
    </row>
    <row r="970">
      <c r="A970" s="1"/>
    </row>
    <row r="971">
      <c r="A971" s="1"/>
    </row>
    <row r="972">
      <c r="A972" s="1"/>
    </row>
    <row r="973">
      <c r="A973" s="1"/>
    </row>
    <row r="974">
      <c r="A974" s="1"/>
    </row>
    <row r="975">
      <c r="A975" s="1"/>
    </row>
    <row r="976">
      <c r="A976" s="1"/>
    </row>
    <row r="977">
      <c r="A977" s="1"/>
    </row>
    <row r="978">
      <c r="A978" s="1"/>
    </row>
    <row r="979">
      <c r="A979" s="1"/>
    </row>
    <row r="980">
      <c r="A980" s="1"/>
    </row>
    <row r="981">
      <c r="A981" s="1"/>
    </row>
    <row r="982">
      <c r="A982" s="1"/>
    </row>
    <row r="983">
      <c r="A983" s="1"/>
    </row>
    <row r="984">
      <c r="A984" s="1"/>
    </row>
    <row r="985">
      <c r="A985" s="1"/>
    </row>
    <row r="986">
      <c r="A986" s="1"/>
    </row>
    <row r="987">
      <c r="A987" s="1"/>
    </row>
    <row r="988">
      <c r="A988" s="1"/>
    </row>
    <row r="989">
      <c r="A989" s="1"/>
    </row>
    <row r="990">
      <c r="A990" s="1"/>
    </row>
    <row r="991">
      <c r="A991" s="1"/>
    </row>
    <row r="992">
      <c r="A992" s="1"/>
    </row>
    <row r="993">
      <c r="A993" s="1"/>
    </row>
    <row r="994">
      <c r="A994" s="1"/>
    </row>
    <row r="995">
      <c r="A995" s="1"/>
    </row>
    <row r="996">
      <c r="A996" s="1"/>
    </row>
    <row r="997">
      <c r="A997" s="1"/>
    </row>
    <row r="998">
      <c r="A998" s="1"/>
    </row>
    <row r="999">
      <c r="A999" s="1"/>
    </row>
    <row r="1000">
      <c r="A1000" s="1"/>
    </row>
    <row r="1001">
      <c r="A1001" s="1"/>
    </row>
    <row r="1002">
      <c r="A1002" s="1"/>
    </row>
    <row r="1003">
      <c r="A1003" s="1"/>
    </row>
    <row r="1004">
      <c r="A1004" s="1"/>
    </row>
    <row r="1005">
      <c r="A1005" s="1"/>
    </row>
    <row r="1006">
      <c r="A1006" s="1"/>
    </row>
    <row r="1007">
      <c r="A1007" s="1"/>
    </row>
    <row r="1008">
      <c r="A1008" s="1"/>
    </row>
    <row r="1009">
      <c r="A1009" s="1"/>
    </row>
    <row r="1010">
      <c r="A1010" s="1"/>
    </row>
    <row r="1011">
      <c r="A1011" s="1"/>
    </row>
    <row r="1012">
      <c r="A1012" s="1"/>
    </row>
    <row r="1013">
      <c r="A1013" s="1"/>
    </row>
    <row r="1014">
      <c r="A1014" s="1"/>
    </row>
    <row r="1015">
      <c r="A1015" s="1"/>
    </row>
    <row r="1016">
      <c r="A1016" s="1"/>
    </row>
  </sheetData>
  <mergeCells count="54">
    <mergeCell ref="E34:F34"/>
    <mergeCell ref="E35:F35"/>
    <mergeCell ref="E36:F36"/>
    <mergeCell ref="E37:F37"/>
    <mergeCell ref="E38:F38"/>
    <mergeCell ref="E39:F39"/>
    <mergeCell ref="E25:F25"/>
    <mergeCell ref="E27:F27"/>
    <mergeCell ref="E28:F28"/>
    <mergeCell ref="E29:F29"/>
    <mergeCell ref="E31:F31"/>
    <mergeCell ref="E32:F32"/>
    <mergeCell ref="E33:F33"/>
    <mergeCell ref="A2:O2"/>
    <mergeCell ref="A4:B6"/>
    <mergeCell ref="C4:D6"/>
    <mergeCell ref="E4:H4"/>
    <mergeCell ref="I4:O5"/>
    <mergeCell ref="E5:F5"/>
    <mergeCell ref="G5:H5"/>
    <mergeCell ref="I6:O6"/>
    <mergeCell ref="K8:K9"/>
    <mergeCell ref="L8:L9"/>
    <mergeCell ref="M8:M9"/>
    <mergeCell ref="N8:N9"/>
    <mergeCell ref="G7:G9"/>
    <mergeCell ref="H7:H9"/>
    <mergeCell ref="I7:I9"/>
    <mergeCell ref="J7:K7"/>
    <mergeCell ref="L7:M7"/>
    <mergeCell ref="N7:O7"/>
    <mergeCell ref="J8:J9"/>
    <mergeCell ref="O8:O9"/>
    <mergeCell ref="E6:F6"/>
    <mergeCell ref="G6:H6"/>
    <mergeCell ref="A7:A9"/>
    <mergeCell ref="B7:B9"/>
    <mergeCell ref="C7:C9"/>
    <mergeCell ref="D7:D9"/>
    <mergeCell ref="E7:F9"/>
    <mergeCell ref="E10:F10"/>
    <mergeCell ref="E11:F11"/>
    <mergeCell ref="E12:F12"/>
    <mergeCell ref="E13:F13"/>
    <mergeCell ref="E14:F14"/>
    <mergeCell ref="E15:F15"/>
    <mergeCell ref="E17:F17"/>
    <mergeCell ref="E18:F18"/>
    <mergeCell ref="E19:F19"/>
    <mergeCell ref="E20:F20"/>
    <mergeCell ref="E21:F21"/>
    <mergeCell ref="E22:F22"/>
    <mergeCell ref="E23:F23"/>
    <mergeCell ref="E24:F24"/>
  </mergeCells>
  <dataValidations>
    <dataValidation type="list" allowBlank="1" showErrorMessage="1" sqref="N10:N39">
      <formula1>"Presupuestando,Comprado,Entregado"</formula1>
    </dataValidation>
  </dataValidations>
  <hyperlinks>
    <hyperlink r:id="rId1" ref="E10"/>
    <hyperlink r:id="rId2" ref="E11"/>
    <hyperlink r:id="rId3" ref="E12"/>
    <hyperlink r:id="rId4" ref="E18"/>
    <hyperlink r:id="rId5" ref="E22"/>
  </hyperlinks>
  <drawing r:id="rId6"/>
</worksheet>
</file>