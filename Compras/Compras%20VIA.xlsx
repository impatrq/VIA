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de compra" sheetId="1" r:id="rId4"/>
  </sheets>
  <definedNames/>
  <calcPr/>
  <extLst>
    <ext uri="GoogleSheetsCustomDataVersion2">
      <go:sheetsCustomData xmlns:go="http://customooxmlschemas.google.com/" r:id="rId5" roundtripDataChecksum="uPH5q0YGLy0ohL1TFnz7qigOKmtREiGtimQIhn+AjYQ="/>
    </ext>
  </extLst>
</workbook>
</file>

<file path=xl/sharedStrings.xml><?xml version="1.0" encoding="utf-8"?>
<sst xmlns="http://schemas.openxmlformats.org/spreadsheetml/2006/main" count="117" uniqueCount="58">
  <si>
    <t>Planilla de compras Proyectos de 7mo Aviónica</t>
  </si>
  <si>
    <t>Nombre del Proyecto</t>
  </si>
  <si>
    <t>VIA</t>
  </si>
  <si>
    <t>Alumnos Responsables:</t>
  </si>
  <si>
    <t>AVIÓNICA</t>
  </si>
  <si>
    <t>Milovan Radakoff</t>
  </si>
  <si>
    <t>radakoff.milovan@gmail.com</t>
  </si>
  <si>
    <t>Matias Caram</t>
  </si>
  <si>
    <t>matias.rapero2007@gmail.com</t>
  </si>
  <si>
    <t>Item</t>
  </si>
  <si>
    <t>Cant.</t>
  </si>
  <si>
    <t>Nombre del producto</t>
  </si>
  <si>
    <t>Detalle del pedido</t>
  </si>
  <si>
    <t>Link:</t>
  </si>
  <si>
    <t>Precio por unidad</t>
  </si>
  <si>
    <t>Sub Total</t>
  </si>
  <si>
    <t>Fecha de solicitud</t>
  </si>
  <si>
    <t>Tutores</t>
  </si>
  <si>
    <t>Jefe de Área</t>
  </si>
  <si>
    <t>Cooperadora</t>
  </si>
  <si>
    <t>Aprobado</t>
  </si>
  <si>
    <t>Fecha de aprobación</t>
  </si>
  <si>
    <t>Estado</t>
  </si>
  <si>
    <t>Fecha de entrega</t>
  </si>
  <si>
    <t>Modulos con camaras ESP32 OV2640 de 2mp</t>
  </si>
  <si>
    <t>Lo necesitamos para procesar las señales enviadas por los ecptores opticos.</t>
  </si>
  <si>
    <t>https://tienda.starware.com.ar/producto/modulo-wifi-bt-camara-arduino-esp32-cam-ov2640-2mp/</t>
  </si>
  <si>
    <t>VERDADERO</t>
  </si>
  <si>
    <t>Presupuestando</t>
  </si>
  <si>
    <t>Placa SBC raspberry PI 5 model B 8GB RAM</t>
  </si>
  <si>
    <t>Lo necesitamos para procesar, analizar y almacenar los datos que le proporcionamos.</t>
  </si>
  <si>
    <t>https://tienda.starware.com.ar/producto/placa-sbc-raspberry-pi-5-model-b-8gb-ram/</t>
  </si>
  <si>
    <t>Sensor de proximidad DIY RCWL-0516 detector</t>
  </si>
  <si>
    <t>Lo necesitamos para detectar objetos con los que se podria golpear el no vidente</t>
  </si>
  <si>
    <t>https://tienda.starware.com.ar/producto/sensor-movimiento-proximidad-diy-rcwl-0516-detector-radar-doppler-microondas/</t>
  </si>
  <si>
    <t>Capacitores de 1μf</t>
  </si>
  <si>
    <t>Para la conexión y funcionamiento del circuito de audio</t>
  </si>
  <si>
    <t>Capacitores ceramicos de 33μf</t>
  </si>
  <si>
    <t>Resistencias de 270 ohms</t>
  </si>
  <si>
    <t>Resistencias de 150 ohms</t>
  </si>
  <si>
    <t>Pack de cables pin arduino macho a hembra</t>
  </si>
  <si>
    <t>Es para conexiones varias</t>
  </si>
  <si>
    <t>Modulo amplificador audio starware PAM8403 5V</t>
  </si>
  <si>
    <t>Es para transformar y amplificar la señal de audio que proviene del aparato</t>
  </si>
  <si>
    <t>https://tienda.starware.com.ar/producto/modulo-amplificador-audio-starware-pam8403-5v-2ch-stereo-3w-con-volumen/</t>
  </si>
  <si>
    <t>Adaptador de jack a pines arduino</t>
  </si>
  <si>
    <t>Lo vamos a usar para la conexión de tipo jack al circuito</t>
  </si>
  <si>
    <t>Sensor de proximidad</t>
  </si>
  <si>
    <t>Para detectar la profundidad de los objetos en un area</t>
  </si>
  <si>
    <t>batería de litio</t>
  </si>
  <si>
    <t>para alimetar los lentes</t>
  </si>
  <si>
    <t>se quemaron las 2 anteriores</t>
  </si>
  <si>
    <t>termocontraible</t>
  </si>
  <si>
    <t>para aislar el circuito</t>
  </si>
  <si>
    <t>Auriculares óseos bluethoot</t>
  </si>
  <si>
    <t>Para transmitir el mensaje al usuario sin obstruir su vía auditiva</t>
  </si>
  <si>
    <t>Total:</t>
  </si>
  <si>
    <t>Gastado: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</si>
</sst>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/M/yyyy H:mm:ss"/>
  </numFmts>
  <fonts count="18">
    <font>
      <sz val="10.0"/>
      <color rgb="FF000000"/>
      <name val="Arial"/>
      <scheme val="minor"/>
    </font>
    <font>
      <sz val="11.0"/>
      <color rgb="FF000000"/>
      <name val="Arial"/>
    </font>
    <font>
      <b/>
      <sz val="31.0"/>
      <color rgb="FF000000"/>
      <name val="Arial"/>
    </font>
    <font>
      <b/>
      <sz val="14.0"/>
      <color rgb="FF000000"/>
      <name val="Arial"/>
    </font>
    <font/>
    <font>
      <b/>
      <sz val="51.0"/>
      <color rgb="FF000000"/>
      <name val="Arial"/>
    </font>
    <font>
      <b/>
      <sz val="16.0"/>
      <color rgb="FF000000"/>
      <name val="Arial"/>
    </font>
    <font>
      <b/>
      <sz val="40.0"/>
      <color rgb="FF000000"/>
      <name val="Arial"/>
    </font>
    <font>
      <sz val="17.0"/>
      <color rgb="FF000000"/>
      <name val="Arial"/>
    </font>
    <font>
      <b/>
      <sz val="18.0"/>
      <color rgb="FF000000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sz val="14.0"/>
      <color rgb="FF00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0000FF"/>
      <name val="Calibri"/>
    </font>
    <font>
      <sz val="18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</fills>
  <borders count="64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bottom/>
    </border>
    <border>
      <right style="medium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</border>
    <border>
      <left/>
      <right/>
    </border>
    <border>
      <right/>
    </border>
    <border>
      <left/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2" fontId="5" numFmtId="0" xfId="0" applyAlignment="1" applyBorder="1" applyFill="1" applyFont="1">
      <alignment horizontal="center" vertical="center"/>
    </xf>
    <xf borderId="4" fillId="3" fontId="6" numFmtId="0" xfId="0" applyAlignment="1" applyBorder="1" applyFill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1" fillId="0" fontId="7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4" fontId="8" numFmtId="0" xfId="0" applyAlignment="1" applyBorder="1" applyFill="1" applyFont="1">
      <alignment horizontal="left" vertical="center"/>
    </xf>
    <xf borderId="12" fillId="0" fontId="4" numFmtId="0" xfId="0" applyBorder="1" applyFont="1"/>
    <xf borderId="11" fillId="0" fontId="1" numFmtId="0" xfId="0" applyAlignment="1" applyBorder="1" applyFont="1">
      <alignment horizontal="left" vertical="center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4" fontId="8" numFmtId="0" xfId="0" applyAlignment="1" applyBorder="1" applyFont="1">
      <alignment horizontal="left" vertical="center"/>
    </xf>
    <xf borderId="19" fillId="0" fontId="4" numFmtId="0" xfId="0" applyBorder="1" applyFont="1"/>
    <xf borderId="20" fillId="0" fontId="1" numFmtId="0" xfId="0" applyAlignment="1" applyBorder="1" applyFont="1">
      <alignment horizontal="left" vertical="center"/>
    </xf>
    <xf borderId="21" fillId="0" fontId="4" numFmtId="0" xfId="0" applyBorder="1" applyFont="1"/>
    <xf borderId="22" fillId="5" fontId="9" numFmtId="0" xfId="0" applyAlignment="1" applyBorder="1" applyFill="1" applyFont="1">
      <alignment horizontal="center" vertical="center"/>
    </xf>
    <xf borderId="23" fillId="0" fontId="4" numFmtId="0" xfId="0" applyBorder="1" applyFont="1"/>
    <xf borderId="24" fillId="0" fontId="4" numFmtId="0" xfId="0" applyBorder="1" applyFont="1"/>
    <xf borderId="25" fillId="6" fontId="3" numFmtId="0" xfId="0" applyAlignment="1" applyBorder="1" applyFill="1" applyFont="1">
      <alignment horizontal="center" vertical="center"/>
    </xf>
    <xf borderId="26" fillId="6" fontId="3" numFmtId="0" xfId="0" applyAlignment="1" applyBorder="1" applyFont="1">
      <alignment horizontal="center" vertical="center"/>
    </xf>
    <xf borderId="25" fillId="6" fontId="9" numFmtId="0" xfId="0" applyAlignment="1" applyBorder="1" applyFont="1">
      <alignment horizontal="center" vertical="center"/>
    </xf>
    <xf borderId="27" fillId="6" fontId="9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shrinkToFit="0" vertical="center" wrapText="1"/>
    </xf>
    <xf borderId="28" fillId="0" fontId="4" numFmtId="0" xfId="0" applyBorder="1" applyFont="1"/>
    <xf borderId="25" fillId="6" fontId="3" numFmtId="0" xfId="0" applyAlignment="1" applyBorder="1" applyFont="1">
      <alignment horizontal="center" shrinkToFit="0" vertical="center" wrapText="1"/>
    </xf>
    <xf borderId="29" fillId="6" fontId="3" numFmtId="0" xfId="0" applyAlignment="1" applyBorder="1" applyFont="1">
      <alignment horizontal="center" shrinkToFit="0" vertical="center" wrapText="1"/>
    </xf>
    <xf borderId="30" fillId="6" fontId="10" numFmtId="0" xfId="0" applyAlignment="1" applyBorder="1" applyFont="1">
      <alignment horizontal="center" shrinkToFit="0" vertical="center" wrapText="1"/>
    </xf>
    <xf borderId="31" fillId="7" fontId="10" numFmtId="0" xfId="0" applyAlignment="1" applyBorder="1" applyFill="1" applyFont="1">
      <alignment horizontal="center" shrinkToFit="0" vertical="center" wrapText="1"/>
    </xf>
    <xf borderId="32" fillId="0" fontId="4" numFmtId="0" xfId="0" applyBorder="1" applyFont="1"/>
    <xf borderId="31" fillId="8" fontId="10" numFmtId="0" xfId="0" applyAlignment="1" applyBorder="1" applyFill="1" applyFont="1">
      <alignment horizontal="center" shrinkToFit="0" vertical="center" wrapText="1"/>
    </xf>
    <xf borderId="33" fillId="3" fontId="3" numFmtId="0" xfId="0" applyAlignment="1" applyBorder="1" applyFont="1">
      <alignment horizontal="center" vertical="center"/>
    </xf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9" fillId="0" fontId="4" numFmtId="0" xfId="0" applyBorder="1" applyFont="1"/>
    <xf borderId="25" fillId="7" fontId="10" numFmtId="0" xfId="0" applyAlignment="1" applyBorder="1" applyFont="1">
      <alignment horizontal="center" shrinkToFit="0" vertical="center" wrapText="1"/>
    </xf>
    <xf borderId="27" fillId="7" fontId="10" numFmtId="0" xfId="0" applyAlignment="1" applyBorder="1" applyFont="1">
      <alignment horizontal="center" shrinkToFit="0" vertical="center" wrapText="1"/>
    </xf>
    <xf borderId="26" fillId="8" fontId="10" numFmtId="0" xfId="0" applyAlignment="1" applyBorder="1" applyFont="1">
      <alignment horizontal="center" shrinkToFit="0" vertical="center" wrapText="1"/>
    </xf>
    <xf borderId="25" fillId="8" fontId="10" numFmtId="0" xfId="0" applyAlignment="1" applyBorder="1" applyFont="1">
      <alignment horizontal="center" shrinkToFit="0" vertical="center" wrapText="1"/>
    </xf>
    <xf borderId="29" fillId="3" fontId="11" numFmtId="0" xfId="0" applyAlignment="1" applyBorder="1" applyFont="1">
      <alignment horizontal="center" vertical="center"/>
    </xf>
    <xf borderId="25" fillId="3" fontId="11" numFmtId="0" xfId="0" applyAlignment="1" applyBorder="1" applyFont="1">
      <alignment horizontal="center" shrinkToFit="0" vertical="center" wrapText="1"/>
    </xf>
    <xf borderId="40" fillId="0" fontId="4" numFmtId="0" xfId="0" applyBorder="1" applyFont="1"/>
    <xf borderId="41" fillId="0" fontId="4" numFmtId="0" xfId="0" applyBorder="1" applyFont="1"/>
    <xf borderId="42" fillId="0" fontId="4" numFmtId="0" xfId="0" applyBorder="1" applyFont="1"/>
    <xf borderId="43" fillId="0" fontId="4" numFmtId="0" xfId="0" applyBorder="1" applyFont="1"/>
    <xf borderId="44" fillId="0" fontId="4" numFmtId="0" xfId="0" applyBorder="1" applyFont="1"/>
    <xf borderId="0" fillId="0" fontId="12" numFmtId="0" xfId="0" applyFont="1"/>
    <xf borderId="45" fillId="0" fontId="1" numFmtId="0" xfId="0" applyAlignment="1" applyBorder="1" applyFont="1">
      <alignment horizontal="center" vertical="center"/>
    </xf>
    <xf borderId="46" fillId="0" fontId="1" numFmtId="0" xfId="0" applyAlignment="1" applyBorder="1" applyFont="1">
      <alignment horizontal="right"/>
    </xf>
    <xf borderId="47" fillId="0" fontId="1" numFmtId="0" xfId="0" applyBorder="1" applyFont="1"/>
    <xf borderId="12" fillId="0" fontId="1" numFmtId="0" xfId="0" applyBorder="1" applyFont="1"/>
    <xf borderId="46" fillId="0" fontId="13" numFmtId="0" xfId="0" applyBorder="1" applyFont="1"/>
    <xf borderId="48" fillId="0" fontId="4" numFmtId="0" xfId="0" applyBorder="1" applyFont="1"/>
    <xf borderId="12" fillId="0" fontId="1" numFmtId="164" xfId="0" applyAlignment="1" applyBorder="1" applyFont="1" applyNumberFormat="1">
      <alignment horizontal="right"/>
    </xf>
    <xf borderId="49" fillId="0" fontId="1" numFmtId="164" xfId="0" applyAlignment="1" applyBorder="1" applyFont="1" applyNumberFormat="1">
      <alignment vertical="center"/>
    </xf>
    <xf borderId="45" fillId="0" fontId="1" numFmtId="165" xfId="0" applyAlignment="1" applyBorder="1" applyFont="1" applyNumberFormat="1">
      <alignment vertical="center"/>
    </xf>
    <xf borderId="45" fillId="0" fontId="1" numFmtId="0" xfId="0" applyAlignment="1" applyBorder="1" applyFont="1">
      <alignment vertical="center"/>
    </xf>
    <xf borderId="50" fillId="0" fontId="1" numFmtId="165" xfId="0" applyAlignment="1" applyBorder="1" applyFont="1" applyNumberFormat="1">
      <alignment vertical="center"/>
    </xf>
    <xf borderId="49" fillId="0" fontId="1" numFmtId="0" xfId="0" applyAlignment="1" applyBorder="1" applyFont="1">
      <alignment horizontal="center" vertical="center"/>
    </xf>
    <xf borderId="51" fillId="0" fontId="1" numFmtId="165" xfId="0" applyAlignment="1" applyBorder="1" applyFont="1" applyNumberFormat="1">
      <alignment vertical="center"/>
    </xf>
    <xf borderId="45" fillId="3" fontId="1" numFmtId="0" xfId="0" applyAlignment="1" applyBorder="1" applyFont="1">
      <alignment vertical="center"/>
    </xf>
    <xf borderId="52" fillId="3" fontId="1" numFmtId="165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53" fillId="0" fontId="1" numFmtId="0" xfId="0" applyAlignment="1" applyBorder="1" applyFont="1">
      <alignment horizontal="center" vertical="center"/>
    </xf>
    <xf borderId="49" fillId="0" fontId="1" numFmtId="0" xfId="0" applyAlignment="1" applyBorder="1" applyFont="1">
      <alignment horizontal="right"/>
    </xf>
    <xf borderId="54" fillId="0" fontId="1" numFmtId="0" xfId="0" applyBorder="1" applyFont="1"/>
    <xf borderId="55" fillId="0" fontId="1" numFmtId="0" xfId="0" applyBorder="1" applyFont="1"/>
    <xf borderId="0" fillId="0" fontId="14" numFmtId="0" xfId="0" applyFont="1"/>
    <xf borderId="55" fillId="0" fontId="1" numFmtId="164" xfId="0" applyAlignment="1" applyBorder="1" applyFont="1" applyNumberFormat="1">
      <alignment horizontal="right"/>
    </xf>
    <xf borderId="50" fillId="0" fontId="1" numFmtId="0" xfId="0" applyAlignment="1" applyBorder="1" applyFont="1">
      <alignment vertical="center"/>
    </xf>
    <xf borderId="56" fillId="0" fontId="1" numFmtId="165" xfId="0" applyAlignment="1" applyBorder="1" applyFont="1" applyNumberFormat="1">
      <alignment vertical="center"/>
    </xf>
    <xf borderId="53" fillId="3" fontId="1" numFmtId="0" xfId="0" applyAlignment="1" applyBorder="1" applyFont="1">
      <alignment vertical="center"/>
    </xf>
    <xf borderId="57" fillId="3" fontId="1" numFmtId="165" xfId="0" applyAlignment="1" applyBorder="1" applyFont="1" applyNumberFormat="1">
      <alignment vertical="center"/>
    </xf>
    <xf borderId="46" fillId="0" fontId="15" numFmtId="0" xfId="0" applyBorder="1" applyFont="1"/>
    <xf borderId="0" fillId="0" fontId="1" numFmtId="0" xfId="0" applyFont="1"/>
    <xf borderId="54" fillId="0" fontId="1" numFmtId="164" xfId="0" applyAlignment="1" applyBorder="1" applyFont="1" applyNumberFormat="1">
      <alignment horizontal="right"/>
    </xf>
    <xf borderId="46" fillId="0" fontId="1" numFmtId="0" xfId="0" applyBorder="1" applyFont="1"/>
    <xf borderId="46" fillId="0" fontId="1" numFmtId="0" xfId="0" applyAlignment="1" applyBorder="1" applyFont="1">
      <alignment vertical="center"/>
    </xf>
    <xf borderId="53" fillId="0" fontId="1" numFmtId="0" xfId="0" applyAlignment="1" applyBorder="1" applyFont="1">
      <alignment vertical="center"/>
    </xf>
    <xf borderId="53" fillId="0" fontId="1" numFmtId="164" xfId="0" applyAlignment="1" applyBorder="1" applyFont="1" applyNumberFormat="1">
      <alignment shrinkToFit="0" vertical="center" wrapText="1"/>
    </xf>
    <xf borderId="56" fillId="0" fontId="1" numFmtId="0" xfId="0" applyAlignment="1" applyBorder="1" applyFont="1">
      <alignment shrinkToFit="0" vertical="center" wrapText="1"/>
    </xf>
    <xf borderId="56" fillId="0" fontId="16" numFmtId="0" xfId="0" applyAlignment="1" applyBorder="1" applyFont="1">
      <alignment shrinkToFit="0" vertical="center" wrapText="1"/>
    </xf>
    <xf borderId="53" fillId="0" fontId="1" numFmtId="0" xfId="0" applyAlignment="1" applyBorder="1" applyFont="1">
      <alignment horizontal="left" vertical="center"/>
    </xf>
    <xf borderId="49" fillId="0" fontId="1" numFmtId="164" xfId="0" applyAlignment="1" applyBorder="1" applyFont="1" applyNumberFormat="1">
      <alignment horizontal="right" vertical="center"/>
    </xf>
    <xf borderId="53" fillId="0" fontId="11" numFmtId="0" xfId="0" applyAlignment="1" applyBorder="1" applyFont="1">
      <alignment vertical="center"/>
    </xf>
    <xf borderId="48" fillId="0" fontId="1" numFmtId="0" xfId="0" applyAlignment="1" applyBorder="1" applyFont="1">
      <alignment shrinkToFit="0" vertical="center" wrapText="1"/>
    </xf>
    <xf borderId="58" fillId="0" fontId="1" numFmtId="0" xfId="0" applyAlignment="1" applyBorder="1" applyFont="1">
      <alignment horizontal="center" vertical="center"/>
    </xf>
    <xf borderId="59" fillId="0" fontId="1" numFmtId="0" xfId="0" applyAlignment="1" applyBorder="1" applyFont="1">
      <alignment vertical="center"/>
    </xf>
    <xf borderId="58" fillId="0" fontId="1" numFmtId="0" xfId="0" applyAlignment="1" applyBorder="1" applyFont="1">
      <alignment vertical="center"/>
    </xf>
    <xf borderId="60" fillId="0" fontId="1" numFmtId="0" xfId="0" applyAlignment="1" applyBorder="1" applyFont="1">
      <alignment shrinkToFit="0" vertical="center" wrapText="1"/>
    </xf>
    <xf borderId="61" fillId="0" fontId="4" numFmtId="0" xfId="0" applyBorder="1" applyFont="1"/>
    <xf borderId="58" fillId="0" fontId="1" numFmtId="164" xfId="0" applyAlignment="1" applyBorder="1" applyFont="1" applyNumberFormat="1">
      <alignment shrinkToFit="0" vertical="center" wrapText="1"/>
    </xf>
    <xf borderId="40" fillId="0" fontId="1" numFmtId="165" xfId="0" applyAlignment="1" applyBorder="1" applyFont="1" applyNumberFormat="1">
      <alignment vertical="center"/>
    </xf>
    <xf borderId="40" fillId="0" fontId="1" numFmtId="0" xfId="0" applyAlignment="1" applyBorder="1" applyFont="1">
      <alignment vertical="center"/>
    </xf>
    <xf borderId="14" fillId="0" fontId="1" numFmtId="0" xfId="0" applyAlignment="1" applyBorder="1" applyFont="1">
      <alignment horizontal="center" vertical="center"/>
    </xf>
    <xf borderId="60" fillId="0" fontId="1" numFmtId="165" xfId="0" applyAlignment="1" applyBorder="1" applyFont="1" applyNumberFormat="1">
      <alignment vertical="center"/>
    </xf>
    <xf borderId="58" fillId="3" fontId="1" numFmtId="0" xfId="0" applyAlignment="1" applyBorder="1" applyFont="1">
      <alignment vertical="center"/>
    </xf>
    <xf borderId="62" fillId="3" fontId="1" numFmtId="165" xfId="0" applyAlignment="1" applyBorder="1" applyFont="1" applyNumberFormat="1">
      <alignment vertical="center"/>
    </xf>
    <xf borderId="40" fillId="0" fontId="3" numFmtId="0" xfId="0" applyAlignment="1" applyBorder="1" applyFont="1">
      <alignment horizontal="center" vertical="center"/>
    </xf>
    <xf borderId="63" fillId="0" fontId="8" numFmtId="164" xfId="0" applyAlignment="1" applyBorder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2" numFmtId="164" xfId="0" applyAlignment="1" applyFont="1" applyNumberFormat="1">
      <alignment horizontal="right"/>
    </xf>
    <xf borderId="8" fillId="0" fontId="1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133350</xdr:colOff>
      <xdr:row>3</xdr:row>
      <xdr:rowOff>57150</xdr:rowOff>
    </xdr:from>
    <xdr:ext cx="828675" cy="504825"/>
    <xdr:grpSp>
      <xdr:nvGrpSpPr>
        <xdr:cNvPr id="2" name="Shape 2"/>
        <xdr:cNvGrpSpPr/>
      </xdr:nvGrpSpPr>
      <xdr:grpSpPr>
        <a:xfrm>
          <a:off x="4931663" y="3527588"/>
          <a:ext cx="828675" cy="504825"/>
          <a:chOff x="4931663" y="3527588"/>
          <a:chExt cx="828675" cy="504825"/>
        </a:xfrm>
      </xdr:grpSpPr>
      <xdr:grpSp>
        <xdr:nvGrpSpPr>
          <xdr:cNvPr id="3" name="Shape 3" title="Dibujo"/>
          <xdr:cNvGrpSpPr/>
        </xdr:nvGrpSpPr>
        <xdr:grpSpPr>
          <a:xfrm>
            <a:off x="4931663" y="3527588"/>
            <a:ext cx="828675" cy="504825"/>
            <a:chOff x="2065500" y="735600"/>
            <a:chExt cx="1744625" cy="1035300"/>
          </a:xfrm>
        </xdr:grpSpPr>
        <xdr:sp>
          <xdr:nvSpPr>
            <xdr:cNvPr id="4" name="Shape 4"/>
            <xdr:cNvSpPr/>
          </xdr:nvSpPr>
          <xdr:spPr>
            <a:xfrm>
              <a:off x="2065500" y="735600"/>
              <a:ext cx="1744625" cy="1035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2065500" y="735600"/>
              <a:ext cx="1744500" cy="1035300"/>
            </a:xfrm>
            <a:prstGeom prst="roundRect">
              <a:avLst>
                <a:gd fmla="val 16667" name="adj"/>
              </a:avLst>
            </a:prstGeom>
            <a:solidFill>
              <a:srgbClr val="B6D7A8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2440975" y="1182250"/>
              <a:ext cx="40500" cy="3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2065625" y="782850"/>
              <a:ext cx="1744500" cy="615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Actualización de Estado</a:t>
              </a:r>
              <a:endParaRPr sz="14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ienda.starware.com.ar/producto/modulo-wifi-bt-camara-arduino-esp32-cam-ov2640-2mp/" TargetMode="External"/><Relationship Id="rId2" Type="http://schemas.openxmlformats.org/officeDocument/2006/relationships/hyperlink" Target="https://tienda.starware.com.ar/producto/placa-sbc-raspberry-pi-5-model-b-8gb-ram/" TargetMode="External"/><Relationship Id="rId3" Type="http://schemas.openxmlformats.org/officeDocument/2006/relationships/hyperlink" Target="https://tienda.starware.com.ar/producto/sensor-movimiento-proximidad-diy-rcwl-0516-detector-radar-doppler-microondas/" TargetMode="External"/><Relationship Id="rId4" Type="http://schemas.openxmlformats.org/officeDocument/2006/relationships/hyperlink" Target="https://tienda.starware.com.ar/producto/modulo-amplificador-audio-starware-pam8403-5v-2ch-stereo-3w-con-volumen/" TargetMode="External"/><Relationship Id="rId5" Type="http://schemas.openxmlformats.org/officeDocument/2006/relationships/hyperlink" Target="https://tienda.starware.com.ar/producto/modulo-wifi-bt-camara-arduino-esp32-cam-ov2640-2mp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5.0"/>
    <col customWidth="1" min="3" max="3" width="35.5"/>
    <col customWidth="1" min="4" max="4" width="65.0"/>
    <col customWidth="1" min="5" max="5" width="11.0"/>
    <col customWidth="1" min="6" max="6" width="32.38"/>
    <col customWidth="1" min="7" max="7" width="11.0"/>
    <col customWidth="1" min="8" max="8" width="14.75"/>
    <col customWidth="1" min="9" max="9" width="14.38"/>
    <col customWidth="1" min="10" max="10" width="11.0"/>
    <col customWidth="1" min="11" max="11" width="13.5"/>
    <col customWidth="1" min="12" max="12" width="11.0"/>
    <col customWidth="1" min="13" max="13" width="13.63"/>
    <col customWidth="1" min="14" max="14" width="11.0"/>
    <col customWidth="1" min="15" max="15" width="12.63"/>
    <col customWidth="1" min="16" max="30" width="11.0"/>
  </cols>
  <sheetData>
    <row r="1" ht="15.75" customHeight="1">
      <c r="A1" s="1"/>
    </row>
    <row r="2" ht="15.75" customHeight="1">
      <c r="A2" s="2" t="s">
        <v>0</v>
      </c>
    </row>
    <row r="3" ht="15.0" customHeight="1">
      <c r="A3" s="1"/>
    </row>
    <row r="4" ht="24.0" customHeight="1">
      <c r="A4" s="3" t="s">
        <v>1</v>
      </c>
      <c r="B4" s="4"/>
      <c r="C4" s="5" t="s">
        <v>2</v>
      </c>
      <c r="D4" s="4"/>
      <c r="E4" s="6" t="s">
        <v>3</v>
      </c>
      <c r="F4" s="7"/>
      <c r="G4" s="7"/>
      <c r="H4" s="8"/>
      <c r="I4" s="9" t="s">
        <v>4</v>
      </c>
      <c r="J4" s="10"/>
      <c r="K4" s="10"/>
      <c r="L4" s="10"/>
      <c r="M4" s="10"/>
      <c r="N4" s="10"/>
      <c r="O4" s="4"/>
    </row>
    <row r="5" ht="24.0" customHeight="1">
      <c r="A5" s="11"/>
      <c r="B5" s="12"/>
      <c r="C5" s="13"/>
      <c r="D5" s="12"/>
      <c r="E5" s="14" t="s">
        <v>5</v>
      </c>
      <c r="F5" s="15"/>
      <c r="G5" s="16" t="s">
        <v>6</v>
      </c>
      <c r="H5" s="15"/>
      <c r="I5" s="17"/>
      <c r="J5" s="18"/>
      <c r="K5" s="18"/>
      <c r="L5" s="18"/>
      <c r="M5" s="18"/>
      <c r="N5" s="18"/>
      <c r="O5" s="19"/>
    </row>
    <row r="6" ht="24.0" customHeight="1">
      <c r="A6" s="11"/>
      <c r="B6" s="12"/>
      <c r="C6" s="20"/>
      <c r="D6" s="21"/>
      <c r="E6" s="22" t="s">
        <v>7</v>
      </c>
      <c r="F6" s="23"/>
      <c r="G6" s="24" t="s">
        <v>8</v>
      </c>
      <c r="H6" s="25"/>
      <c r="I6" s="26"/>
      <c r="J6" s="27"/>
      <c r="K6" s="27"/>
      <c r="L6" s="27"/>
      <c r="M6" s="27"/>
      <c r="N6" s="27"/>
      <c r="O6" s="28"/>
    </row>
    <row r="7" ht="19.5" customHeight="1">
      <c r="A7" s="29" t="s">
        <v>9</v>
      </c>
      <c r="B7" s="30" t="s">
        <v>10</v>
      </c>
      <c r="C7" s="31" t="s">
        <v>11</v>
      </c>
      <c r="D7" s="32" t="s">
        <v>12</v>
      </c>
      <c r="E7" s="33" t="s">
        <v>13</v>
      </c>
      <c r="F7" s="34"/>
      <c r="G7" s="35" t="s">
        <v>14</v>
      </c>
      <c r="H7" s="36" t="s">
        <v>15</v>
      </c>
      <c r="I7" s="37" t="s">
        <v>16</v>
      </c>
      <c r="J7" s="38" t="s">
        <v>17</v>
      </c>
      <c r="K7" s="39"/>
      <c r="L7" s="40" t="s">
        <v>18</v>
      </c>
      <c r="M7" s="39"/>
      <c r="N7" s="41" t="s">
        <v>19</v>
      </c>
      <c r="O7" s="42"/>
    </row>
    <row r="8" ht="19.5" customHeight="1">
      <c r="A8" s="43"/>
      <c r="B8" s="44"/>
      <c r="C8" s="43"/>
      <c r="D8" s="45"/>
      <c r="E8" s="11"/>
      <c r="F8" s="46"/>
      <c r="G8" s="43"/>
      <c r="H8" s="47"/>
      <c r="I8" s="47"/>
      <c r="J8" s="48" t="s">
        <v>20</v>
      </c>
      <c r="K8" s="49" t="s">
        <v>21</v>
      </c>
      <c r="L8" s="50" t="s">
        <v>20</v>
      </c>
      <c r="M8" s="51" t="s">
        <v>21</v>
      </c>
      <c r="N8" s="52" t="s">
        <v>22</v>
      </c>
      <c r="O8" s="53" t="s">
        <v>23</v>
      </c>
    </row>
    <row r="9" ht="19.5" customHeight="1">
      <c r="A9" s="54"/>
      <c r="B9" s="55"/>
      <c r="C9" s="54"/>
      <c r="D9" s="56"/>
      <c r="E9" s="17"/>
      <c r="F9" s="57"/>
      <c r="G9" s="54"/>
      <c r="H9" s="58"/>
      <c r="I9" s="58"/>
      <c r="J9" s="54"/>
      <c r="K9" s="56"/>
      <c r="L9" s="55"/>
      <c r="M9" s="54"/>
      <c r="N9" s="58"/>
      <c r="O9" s="54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</row>
    <row r="10" ht="15.75" customHeight="1">
      <c r="A10" s="60">
        <v>1.0</v>
      </c>
      <c r="B10" s="61">
        <v>2.0</v>
      </c>
      <c r="C10" s="62" t="s">
        <v>24</v>
      </c>
      <c r="D10" s="63" t="s">
        <v>25</v>
      </c>
      <c r="E10" s="64" t="s">
        <v>26</v>
      </c>
      <c r="F10" s="65"/>
      <c r="G10" s="66">
        <v>14739.0</v>
      </c>
      <c r="H10" s="67">
        <f t="shared" ref="H10:H39" si="1">G10*B10</f>
        <v>29478</v>
      </c>
      <c r="I10" s="68" t="str">
        <f t="shared" ref="I10:I39" si="2">IFS(C10="","",I10&lt;&gt;"",I10,TRUE,NOW())</f>
        <v>#REF!</v>
      </c>
      <c r="J10" s="69" t="s">
        <v>27</v>
      </c>
      <c r="K10" s="70" t="str">
        <f t="shared" ref="K10:K39" si="3">IFS(J10="","",K10&lt;&gt;"",K10,TRUE,NOW())</f>
        <v>#REF!</v>
      </c>
      <c r="L10" s="71" t="s">
        <v>27</v>
      </c>
      <c r="M10" s="72" t="str">
        <f t="shared" ref="M10:M39" si="4">IFS(L10="","",M10&lt;&gt;"",M10,TRUE,NOW())</f>
        <v>#REF!</v>
      </c>
      <c r="N10" s="73" t="s">
        <v>28</v>
      </c>
      <c r="O10" s="74" t="str">
        <f t="shared" ref="O10:O39" si="5">IFS(N10="","",N10="Presupuestando","",N10="comprado","",O10&lt;&gt;"",O10,TRUE,NOW())</f>
        <v/>
      </c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</row>
    <row r="11" ht="15.75" customHeight="1">
      <c r="A11" s="76">
        <f t="shared" ref="A11:A39" si="6">A10+1</f>
        <v>2</v>
      </c>
      <c r="B11" s="77">
        <v>1.0</v>
      </c>
      <c r="C11" s="78" t="s">
        <v>29</v>
      </c>
      <c r="D11" s="79" t="s">
        <v>30</v>
      </c>
      <c r="E11" s="80" t="s">
        <v>31</v>
      </c>
      <c r="F11" s="12"/>
      <c r="G11" s="81">
        <v>125009.0</v>
      </c>
      <c r="H11" s="67">
        <f t="shared" si="1"/>
        <v>125009</v>
      </c>
      <c r="I11" s="70" t="str">
        <f t="shared" si="2"/>
        <v>#REF!</v>
      </c>
      <c r="J11" s="82" t="s">
        <v>27</v>
      </c>
      <c r="K11" s="70" t="str">
        <f t="shared" si="3"/>
        <v>#REF!</v>
      </c>
      <c r="L11" s="71" t="s">
        <v>27</v>
      </c>
      <c r="M11" s="83" t="str">
        <f t="shared" si="4"/>
        <v>#REF!</v>
      </c>
      <c r="N11" s="84" t="s">
        <v>28</v>
      </c>
      <c r="O11" s="85" t="str">
        <f t="shared" si="5"/>
        <v/>
      </c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</row>
    <row r="12" ht="15.75" customHeight="1">
      <c r="A12" s="76">
        <f t="shared" si="6"/>
        <v>3</v>
      </c>
      <c r="B12" s="77">
        <v>1.0</v>
      </c>
      <c r="C12" s="78" t="s">
        <v>32</v>
      </c>
      <c r="D12" s="79" t="s">
        <v>33</v>
      </c>
      <c r="E12" s="64" t="s">
        <v>34</v>
      </c>
      <c r="F12" s="65"/>
      <c r="G12" s="81">
        <v>5189.0</v>
      </c>
      <c r="H12" s="67">
        <f t="shared" si="1"/>
        <v>5189</v>
      </c>
      <c r="I12" s="70" t="str">
        <f t="shared" si="2"/>
        <v>#REF!</v>
      </c>
      <c r="J12" s="82" t="s">
        <v>27</v>
      </c>
      <c r="K12" s="70" t="str">
        <f t="shared" si="3"/>
        <v>#REF!</v>
      </c>
      <c r="L12" s="71" t="s">
        <v>27</v>
      </c>
      <c r="M12" s="83" t="str">
        <f t="shared" si="4"/>
        <v>#REF!</v>
      </c>
      <c r="N12" s="84" t="s">
        <v>28</v>
      </c>
      <c r="O12" s="85" t="str">
        <f t="shared" si="5"/>
        <v/>
      </c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</row>
    <row r="13" ht="15.75" customHeight="1">
      <c r="A13" s="76">
        <f t="shared" si="6"/>
        <v>4</v>
      </c>
      <c r="B13" s="77">
        <v>4.0</v>
      </c>
      <c r="C13" s="78" t="s">
        <v>35</v>
      </c>
      <c r="D13" s="79" t="s">
        <v>36</v>
      </c>
      <c r="E13" s="86"/>
      <c r="F13" s="65"/>
      <c r="G13" s="81">
        <v>2618.0</v>
      </c>
      <c r="H13" s="67">
        <f t="shared" si="1"/>
        <v>10472</v>
      </c>
      <c r="I13" s="70" t="str">
        <f t="shared" si="2"/>
        <v>#REF!</v>
      </c>
      <c r="J13" s="82" t="s">
        <v>27</v>
      </c>
      <c r="K13" s="70" t="str">
        <f t="shared" si="3"/>
        <v>#REF!</v>
      </c>
      <c r="L13" s="71" t="s">
        <v>27</v>
      </c>
      <c r="M13" s="83" t="str">
        <f t="shared" si="4"/>
        <v>#REF!</v>
      </c>
      <c r="N13" s="84" t="s">
        <v>28</v>
      </c>
      <c r="O13" s="85" t="str">
        <f t="shared" si="5"/>
        <v/>
      </c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</row>
    <row r="14" ht="15.75" customHeight="1">
      <c r="A14" s="76">
        <f t="shared" si="6"/>
        <v>5</v>
      </c>
      <c r="B14" s="77">
        <v>4.0</v>
      </c>
      <c r="C14" s="78" t="s">
        <v>37</v>
      </c>
      <c r="D14" s="79" t="s">
        <v>36</v>
      </c>
      <c r="E14" s="86"/>
      <c r="F14" s="65"/>
      <c r="G14" s="81">
        <v>2618.0</v>
      </c>
      <c r="H14" s="67">
        <f t="shared" si="1"/>
        <v>10472</v>
      </c>
      <c r="I14" s="70" t="str">
        <f t="shared" si="2"/>
        <v>#REF!</v>
      </c>
      <c r="J14" s="82" t="s">
        <v>27</v>
      </c>
      <c r="K14" s="70" t="str">
        <f t="shared" si="3"/>
        <v>#REF!</v>
      </c>
      <c r="L14" s="71" t="s">
        <v>27</v>
      </c>
      <c r="M14" s="83" t="str">
        <f t="shared" si="4"/>
        <v>#REF!</v>
      </c>
      <c r="N14" s="84" t="s">
        <v>28</v>
      </c>
      <c r="O14" s="85" t="str">
        <f t="shared" si="5"/>
        <v/>
      </c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</row>
    <row r="15" ht="15.75" customHeight="1">
      <c r="A15" s="76">
        <f t="shared" si="6"/>
        <v>6</v>
      </c>
      <c r="B15" s="77">
        <v>4.0</v>
      </c>
      <c r="C15" s="78" t="s">
        <v>38</v>
      </c>
      <c r="D15" s="79" t="s">
        <v>36</v>
      </c>
      <c r="E15" s="87"/>
      <c r="G15" s="88">
        <v>1202.03</v>
      </c>
      <c r="H15" s="67">
        <f t="shared" si="1"/>
        <v>4808.12</v>
      </c>
      <c r="I15" s="70" t="str">
        <f t="shared" si="2"/>
        <v>#REF!</v>
      </c>
      <c r="J15" s="82" t="s">
        <v>27</v>
      </c>
      <c r="K15" s="70" t="str">
        <f t="shared" si="3"/>
        <v>#REF!</v>
      </c>
      <c r="L15" s="71" t="s">
        <v>27</v>
      </c>
      <c r="M15" s="83" t="str">
        <f t="shared" si="4"/>
        <v>#REF!</v>
      </c>
      <c r="N15" s="84" t="s">
        <v>28</v>
      </c>
      <c r="O15" s="85" t="str">
        <f t="shared" si="5"/>
        <v/>
      </c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</row>
    <row r="16" ht="15.75" customHeight="1">
      <c r="A16" s="76">
        <f t="shared" si="6"/>
        <v>7</v>
      </c>
      <c r="B16" s="77">
        <v>4.0</v>
      </c>
      <c r="C16" s="78" t="s">
        <v>39</v>
      </c>
      <c r="D16" s="79" t="s">
        <v>36</v>
      </c>
      <c r="E16" s="89"/>
      <c r="F16" s="63"/>
      <c r="G16" s="81">
        <v>4584.0</v>
      </c>
      <c r="H16" s="67">
        <f t="shared" si="1"/>
        <v>18336</v>
      </c>
      <c r="I16" s="70" t="str">
        <f t="shared" si="2"/>
        <v>#REF!</v>
      </c>
      <c r="J16" s="82" t="s">
        <v>27</v>
      </c>
      <c r="K16" s="70" t="str">
        <f t="shared" si="3"/>
        <v>#REF!</v>
      </c>
      <c r="L16" s="71" t="s">
        <v>27</v>
      </c>
      <c r="M16" s="83" t="str">
        <f t="shared" si="4"/>
        <v>#REF!</v>
      </c>
      <c r="N16" s="84" t="s">
        <v>28</v>
      </c>
      <c r="O16" s="85" t="str">
        <f t="shared" si="5"/>
        <v/>
      </c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</row>
    <row r="17" ht="15.75" customHeight="1">
      <c r="A17" s="76">
        <f t="shared" si="6"/>
        <v>8</v>
      </c>
      <c r="B17" s="77">
        <v>1.0</v>
      </c>
      <c r="C17" s="78" t="s">
        <v>40</v>
      </c>
      <c r="D17" s="79" t="s">
        <v>41</v>
      </c>
      <c r="E17" s="89"/>
      <c r="F17" s="65"/>
      <c r="G17" s="81">
        <v>3000.0</v>
      </c>
      <c r="H17" s="67">
        <f t="shared" si="1"/>
        <v>3000</v>
      </c>
      <c r="I17" s="70" t="str">
        <f t="shared" si="2"/>
        <v>#REF!</v>
      </c>
      <c r="J17" s="82" t="s">
        <v>27</v>
      </c>
      <c r="K17" s="70" t="str">
        <f t="shared" si="3"/>
        <v>#REF!</v>
      </c>
      <c r="L17" s="71" t="s">
        <v>27</v>
      </c>
      <c r="M17" s="83" t="str">
        <f t="shared" si="4"/>
        <v>#REF!</v>
      </c>
      <c r="N17" s="84" t="s">
        <v>28</v>
      </c>
      <c r="O17" s="85" t="str">
        <f t="shared" si="5"/>
        <v/>
      </c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</row>
    <row r="18" ht="15.75" customHeight="1">
      <c r="A18" s="76">
        <f t="shared" si="6"/>
        <v>9</v>
      </c>
      <c r="B18" s="77">
        <v>1.0</v>
      </c>
      <c r="C18" s="78" t="s">
        <v>42</v>
      </c>
      <c r="D18" s="79" t="s">
        <v>43</v>
      </c>
      <c r="E18" s="64" t="s">
        <v>44</v>
      </c>
      <c r="F18" s="65"/>
      <c r="G18" s="81">
        <v>2279.0</v>
      </c>
      <c r="H18" s="67">
        <f t="shared" si="1"/>
        <v>2279</v>
      </c>
      <c r="I18" s="70" t="str">
        <f t="shared" si="2"/>
        <v>#REF!</v>
      </c>
      <c r="J18" s="82" t="s">
        <v>27</v>
      </c>
      <c r="K18" s="70" t="str">
        <f t="shared" si="3"/>
        <v>#REF!</v>
      </c>
      <c r="L18" s="71" t="s">
        <v>27</v>
      </c>
      <c r="M18" s="83" t="str">
        <f t="shared" si="4"/>
        <v>#REF!</v>
      </c>
      <c r="N18" s="84" t="s">
        <v>28</v>
      </c>
      <c r="O18" s="85" t="str">
        <f t="shared" si="5"/>
        <v/>
      </c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</row>
    <row r="19" ht="15.75" customHeight="1">
      <c r="A19" s="76">
        <f t="shared" si="6"/>
        <v>10</v>
      </c>
      <c r="B19" s="77">
        <v>1.0</v>
      </c>
      <c r="C19" s="78" t="s">
        <v>45</v>
      </c>
      <c r="D19" s="79" t="s">
        <v>46</v>
      </c>
      <c r="E19" s="89"/>
      <c r="F19" s="65"/>
      <c r="G19" s="81">
        <v>5300.0</v>
      </c>
      <c r="H19" s="67">
        <f t="shared" si="1"/>
        <v>5300</v>
      </c>
      <c r="I19" s="70" t="str">
        <f t="shared" si="2"/>
        <v>#REF!</v>
      </c>
      <c r="J19" s="82" t="s">
        <v>27</v>
      </c>
      <c r="K19" s="70" t="str">
        <f t="shared" si="3"/>
        <v>#REF!</v>
      </c>
      <c r="L19" s="71" t="s">
        <v>27</v>
      </c>
      <c r="M19" s="83" t="str">
        <f t="shared" si="4"/>
        <v>#REF!</v>
      </c>
      <c r="N19" s="84" t="s">
        <v>28</v>
      </c>
      <c r="O19" s="85" t="str">
        <f t="shared" si="5"/>
        <v/>
      </c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</row>
    <row r="20" ht="15.75" customHeight="1">
      <c r="A20" s="76">
        <f t="shared" si="6"/>
        <v>11</v>
      </c>
      <c r="B20" s="90">
        <v>1.0</v>
      </c>
      <c r="C20" s="91" t="s">
        <v>47</v>
      </c>
      <c r="D20" s="91" t="s">
        <v>48</v>
      </c>
      <c r="E20" s="75"/>
      <c r="G20" s="92">
        <v>16000.0</v>
      </c>
      <c r="H20" s="67">
        <f t="shared" si="1"/>
        <v>16000</v>
      </c>
      <c r="I20" s="70" t="str">
        <f t="shared" si="2"/>
        <v>#REF!</v>
      </c>
      <c r="J20" s="82" t="s">
        <v>27</v>
      </c>
      <c r="K20" s="70" t="str">
        <f t="shared" si="3"/>
        <v>#REF!</v>
      </c>
      <c r="L20" s="71" t="s">
        <v>27</v>
      </c>
      <c r="M20" s="83" t="str">
        <f t="shared" si="4"/>
        <v>#REF!</v>
      </c>
      <c r="N20" s="84" t="s">
        <v>28</v>
      </c>
      <c r="O20" s="85" t="str">
        <f t="shared" si="5"/>
        <v/>
      </c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</row>
    <row r="21" ht="15.75" customHeight="1">
      <c r="A21" s="76">
        <f t="shared" si="6"/>
        <v>12</v>
      </c>
      <c r="B21" s="90">
        <v>1.0</v>
      </c>
      <c r="C21" s="91" t="s">
        <v>49</v>
      </c>
      <c r="D21" s="91" t="s">
        <v>50</v>
      </c>
      <c r="E21" s="93"/>
      <c r="F21" s="65"/>
      <c r="G21" s="92">
        <v>7700.0</v>
      </c>
      <c r="H21" s="67">
        <f t="shared" si="1"/>
        <v>7700</v>
      </c>
      <c r="I21" s="70" t="str">
        <f t="shared" si="2"/>
        <v>#REF!</v>
      </c>
      <c r="J21" s="82" t="s">
        <v>27</v>
      </c>
      <c r="K21" s="70" t="str">
        <f t="shared" si="3"/>
        <v>#REF!</v>
      </c>
      <c r="L21" s="71" t="s">
        <v>27</v>
      </c>
      <c r="M21" s="83" t="str">
        <f t="shared" si="4"/>
        <v>#REF!</v>
      </c>
      <c r="N21" s="84" t="s">
        <v>28</v>
      </c>
      <c r="O21" s="85" t="str">
        <f t="shared" si="5"/>
        <v/>
      </c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</row>
    <row r="22" ht="15.75" customHeight="1">
      <c r="A22" s="76">
        <f t="shared" si="6"/>
        <v>13</v>
      </c>
      <c r="B22" s="90">
        <v>2.0</v>
      </c>
      <c r="C22" s="91" t="s">
        <v>24</v>
      </c>
      <c r="D22" s="91" t="s">
        <v>51</v>
      </c>
      <c r="E22" s="94" t="s">
        <v>26</v>
      </c>
      <c r="F22" s="65"/>
      <c r="G22" s="92"/>
      <c r="H22" s="67">
        <f t="shared" si="1"/>
        <v>0</v>
      </c>
      <c r="I22" s="70" t="str">
        <f t="shared" si="2"/>
        <v>#REF!</v>
      </c>
      <c r="J22" s="82"/>
      <c r="K22" s="70" t="str">
        <f t="shared" si="3"/>
        <v/>
      </c>
      <c r="L22" s="71"/>
      <c r="M22" s="83" t="str">
        <f t="shared" si="4"/>
        <v/>
      </c>
      <c r="N22" s="84" t="s">
        <v>28</v>
      </c>
      <c r="O22" s="85" t="str">
        <f t="shared" si="5"/>
        <v/>
      </c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</row>
    <row r="23" ht="15.75" customHeight="1">
      <c r="A23" s="76">
        <f t="shared" si="6"/>
        <v>14</v>
      </c>
      <c r="B23" s="90">
        <v>1.0</v>
      </c>
      <c r="C23" s="91" t="s">
        <v>52</v>
      </c>
      <c r="D23" s="91" t="s">
        <v>53</v>
      </c>
      <c r="E23" s="93"/>
      <c r="F23" s="65"/>
      <c r="G23" s="92"/>
      <c r="H23" s="67">
        <f t="shared" si="1"/>
        <v>0</v>
      </c>
      <c r="I23" s="70" t="str">
        <f t="shared" si="2"/>
        <v>#REF!</v>
      </c>
      <c r="J23" s="82"/>
      <c r="K23" s="70" t="str">
        <f t="shared" si="3"/>
        <v/>
      </c>
      <c r="L23" s="71"/>
      <c r="M23" s="83" t="str">
        <f t="shared" si="4"/>
        <v/>
      </c>
      <c r="N23" s="84" t="s">
        <v>28</v>
      </c>
      <c r="O23" s="85" t="str">
        <f t="shared" si="5"/>
        <v/>
      </c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</row>
    <row r="24" ht="15.75" customHeight="1">
      <c r="A24" s="76">
        <f t="shared" si="6"/>
        <v>15</v>
      </c>
      <c r="B24" s="90">
        <v>1.0</v>
      </c>
      <c r="C24" s="95" t="s">
        <v>54</v>
      </c>
      <c r="D24" s="95" t="s">
        <v>55</v>
      </c>
      <c r="E24" s="93"/>
      <c r="F24" s="65"/>
      <c r="G24" s="92">
        <v>18000.0</v>
      </c>
      <c r="H24" s="96">
        <f t="shared" si="1"/>
        <v>18000</v>
      </c>
      <c r="I24" s="70" t="str">
        <f t="shared" si="2"/>
        <v>#REF!</v>
      </c>
      <c r="J24" s="82"/>
      <c r="K24" s="70" t="str">
        <f t="shared" si="3"/>
        <v/>
      </c>
      <c r="L24" s="71"/>
      <c r="M24" s="83" t="str">
        <f t="shared" si="4"/>
        <v/>
      </c>
      <c r="N24" s="84" t="s">
        <v>28</v>
      </c>
      <c r="O24" s="85" t="str">
        <f t="shared" si="5"/>
        <v/>
      </c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</row>
    <row r="25" ht="15.75" customHeight="1">
      <c r="A25" s="76">
        <f t="shared" si="6"/>
        <v>16</v>
      </c>
      <c r="B25" s="90"/>
      <c r="C25" s="97"/>
      <c r="D25" s="91"/>
      <c r="E25" s="93"/>
      <c r="F25" s="65"/>
      <c r="G25" s="92"/>
      <c r="H25" s="67">
        <f t="shared" si="1"/>
        <v>0</v>
      </c>
      <c r="I25" s="70" t="str">
        <f t="shared" si="2"/>
        <v/>
      </c>
      <c r="J25" s="82"/>
      <c r="K25" s="70" t="str">
        <f t="shared" si="3"/>
        <v/>
      </c>
      <c r="L25" s="71"/>
      <c r="M25" s="83" t="str">
        <f t="shared" si="4"/>
        <v/>
      </c>
      <c r="N25" s="84" t="s">
        <v>28</v>
      </c>
      <c r="O25" s="85" t="str">
        <f t="shared" si="5"/>
        <v/>
      </c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</row>
    <row r="26" ht="15.75" customHeight="1">
      <c r="A26" s="76">
        <f t="shared" si="6"/>
        <v>17</v>
      </c>
      <c r="B26" s="90"/>
      <c r="C26" s="91"/>
      <c r="D26" s="91"/>
      <c r="F26" s="98"/>
      <c r="G26" s="92"/>
      <c r="H26" s="67">
        <f t="shared" si="1"/>
        <v>0</v>
      </c>
      <c r="I26" s="70" t="str">
        <f t="shared" si="2"/>
        <v/>
      </c>
      <c r="J26" s="82"/>
      <c r="K26" s="70" t="str">
        <f t="shared" si="3"/>
        <v/>
      </c>
      <c r="L26" s="71"/>
      <c r="M26" s="83" t="str">
        <f t="shared" si="4"/>
        <v/>
      </c>
      <c r="N26" s="84" t="s">
        <v>28</v>
      </c>
      <c r="O26" s="85" t="str">
        <f t="shared" si="5"/>
        <v/>
      </c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</row>
    <row r="27" ht="15.75" customHeight="1">
      <c r="A27" s="76">
        <f t="shared" si="6"/>
        <v>18</v>
      </c>
      <c r="B27" s="90"/>
      <c r="C27" s="91"/>
      <c r="D27" s="91"/>
      <c r="E27" s="93"/>
      <c r="F27" s="65"/>
      <c r="G27" s="92"/>
      <c r="H27" s="67">
        <f t="shared" si="1"/>
        <v>0</v>
      </c>
      <c r="I27" s="70" t="str">
        <f t="shared" si="2"/>
        <v/>
      </c>
      <c r="J27" s="82"/>
      <c r="K27" s="70" t="str">
        <f t="shared" si="3"/>
        <v/>
      </c>
      <c r="L27" s="71"/>
      <c r="M27" s="83" t="str">
        <f t="shared" si="4"/>
        <v/>
      </c>
      <c r="N27" s="84" t="s">
        <v>28</v>
      </c>
      <c r="O27" s="85" t="str">
        <f t="shared" si="5"/>
        <v/>
      </c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</row>
    <row r="28" ht="15.75" customHeight="1">
      <c r="A28" s="76">
        <f t="shared" si="6"/>
        <v>19</v>
      </c>
      <c r="B28" s="90"/>
      <c r="C28" s="91"/>
      <c r="D28" s="91"/>
      <c r="E28" s="93"/>
      <c r="F28" s="65"/>
      <c r="G28" s="92"/>
      <c r="H28" s="67">
        <f t="shared" si="1"/>
        <v>0</v>
      </c>
      <c r="I28" s="70" t="str">
        <f t="shared" si="2"/>
        <v/>
      </c>
      <c r="J28" s="82"/>
      <c r="K28" s="70" t="str">
        <f t="shared" si="3"/>
        <v/>
      </c>
      <c r="L28" s="71"/>
      <c r="M28" s="83" t="str">
        <f t="shared" si="4"/>
        <v/>
      </c>
      <c r="N28" s="84" t="s">
        <v>28</v>
      </c>
      <c r="O28" s="85" t="str">
        <f t="shared" si="5"/>
        <v/>
      </c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</row>
    <row r="29" ht="15.75" customHeight="1">
      <c r="A29" s="76">
        <f t="shared" si="6"/>
        <v>20</v>
      </c>
      <c r="B29" s="90"/>
      <c r="C29" s="91"/>
      <c r="D29" s="91"/>
      <c r="E29" s="93"/>
      <c r="F29" s="65"/>
      <c r="G29" s="92"/>
      <c r="H29" s="67">
        <f t="shared" si="1"/>
        <v>0</v>
      </c>
      <c r="I29" s="70" t="str">
        <f t="shared" si="2"/>
        <v/>
      </c>
      <c r="J29" s="82"/>
      <c r="K29" s="70" t="str">
        <f t="shared" si="3"/>
        <v/>
      </c>
      <c r="L29" s="71"/>
      <c r="M29" s="83" t="str">
        <f t="shared" si="4"/>
        <v/>
      </c>
      <c r="N29" s="84" t="s">
        <v>28</v>
      </c>
      <c r="O29" s="85" t="str">
        <f t="shared" si="5"/>
        <v/>
      </c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</row>
    <row r="30" ht="15.75" customHeight="1">
      <c r="A30" s="76">
        <f t="shared" si="6"/>
        <v>21</v>
      </c>
      <c r="B30" s="90"/>
      <c r="C30" s="91"/>
      <c r="D30" s="91"/>
      <c r="E30" s="93"/>
      <c r="F30" s="98"/>
      <c r="G30" s="92"/>
      <c r="H30" s="67">
        <f t="shared" si="1"/>
        <v>0</v>
      </c>
      <c r="I30" s="70" t="str">
        <f t="shared" si="2"/>
        <v/>
      </c>
      <c r="J30" s="82"/>
      <c r="K30" s="70" t="str">
        <f t="shared" si="3"/>
        <v/>
      </c>
      <c r="L30" s="71"/>
      <c r="M30" s="83" t="str">
        <f t="shared" si="4"/>
        <v/>
      </c>
      <c r="N30" s="84" t="s">
        <v>28</v>
      </c>
      <c r="O30" s="85" t="str">
        <f t="shared" si="5"/>
        <v/>
      </c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</row>
    <row r="31" ht="15.75" customHeight="1">
      <c r="A31" s="76">
        <f t="shared" si="6"/>
        <v>22</v>
      </c>
      <c r="B31" s="90"/>
      <c r="C31" s="91"/>
      <c r="D31" s="91"/>
      <c r="E31" s="93"/>
      <c r="F31" s="65"/>
      <c r="G31" s="92"/>
      <c r="H31" s="67">
        <f t="shared" si="1"/>
        <v>0</v>
      </c>
      <c r="I31" s="70" t="str">
        <f t="shared" si="2"/>
        <v/>
      </c>
      <c r="J31" s="82"/>
      <c r="K31" s="70" t="str">
        <f t="shared" si="3"/>
        <v/>
      </c>
      <c r="L31" s="71"/>
      <c r="M31" s="83" t="str">
        <f t="shared" si="4"/>
        <v/>
      </c>
      <c r="N31" s="84" t="s">
        <v>28</v>
      </c>
      <c r="O31" s="85" t="str">
        <f t="shared" si="5"/>
        <v/>
      </c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 ht="15.75" customHeight="1">
      <c r="A32" s="76">
        <f t="shared" si="6"/>
        <v>23</v>
      </c>
      <c r="B32" s="90"/>
      <c r="C32" s="91"/>
      <c r="D32" s="91"/>
      <c r="E32" s="93"/>
      <c r="F32" s="65"/>
      <c r="G32" s="92"/>
      <c r="H32" s="67">
        <f t="shared" si="1"/>
        <v>0</v>
      </c>
      <c r="I32" s="70" t="str">
        <f t="shared" si="2"/>
        <v/>
      </c>
      <c r="J32" s="82"/>
      <c r="K32" s="70" t="str">
        <f t="shared" si="3"/>
        <v/>
      </c>
      <c r="L32" s="71"/>
      <c r="M32" s="83" t="str">
        <f t="shared" si="4"/>
        <v/>
      </c>
      <c r="N32" s="84" t="s">
        <v>28</v>
      </c>
      <c r="O32" s="85" t="str">
        <f t="shared" si="5"/>
        <v/>
      </c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</row>
    <row r="33" ht="15.75" customHeight="1">
      <c r="A33" s="76">
        <f t="shared" si="6"/>
        <v>24</v>
      </c>
      <c r="B33" s="90"/>
      <c r="C33" s="91"/>
      <c r="D33" s="91"/>
      <c r="E33" s="93"/>
      <c r="F33" s="65"/>
      <c r="G33" s="92"/>
      <c r="H33" s="67">
        <f t="shared" si="1"/>
        <v>0</v>
      </c>
      <c r="I33" s="70" t="str">
        <f t="shared" si="2"/>
        <v/>
      </c>
      <c r="J33" s="82"/>
      <c r="K33" s="70" t="str">
        <f t="shared" si="3"/>
        <v/>
      </c>
      <c r="L33" s="71"/>
      <c r="M33" s="83" t="str">
        <f t="shared" si="4"/>
        <v/>
      </c>
      <c r="N33" s="84" t="s">
        <v>28</v>
      </c>
      <c r="O33" s="85" t="str">
        <f t="shared" si="5"/>
        <v/>
      </c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</row>
    <row r="34" ht="15.75" customHeight="1">
      <c r="A34" s="76">
        <f t="shared" si="6"/>
        <v>25</v>
      </c>
      <c r="B34" s="90"/>
      <c r="C34" s="91"/>
      <c r="D34" s="91"/>
      <c r="E34" s="93"/>
      <c r="F34" s="65"/>
      <c r="G34" s="92"/>
      <c r="H34" s="67">
        <f t="shared" si="1"/>
        <v>0</v>
      </c>
      <c r="I34" s="70" t="str">
        <f t="shared" si="2"/>
        <v/>
      </c>
      <c r="J34" s="82"/>
      <c r="K34" s="70" t="str">
        <f t="shared" si="3"/>
        <v/>
      </c>
      <c r="L34" s="71"/>
      <c r="M34" s="83" t="str">
        <f t="shared" si="4"/>
        <v/>
      </c>
      <c r="N34" s="84" t="s">
        <v>28</v>
      </c>
      <c r="O34" s="85" t="str">
        <f t="shared" si="5"/>
        <v/>
      </c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</row>
    <row r="35" ht="15.75" customHeight="1">
      <c r="A35" s="76">
        <f t="shared" si="6"/>
        <v>26</v>
      </c>
      <c r="B35" s="90"/>
      <c r="C35" s="91"/>
      <c r="D35" s="91"/>
      <c r="E35" s="93"/>
      <c r="F35" s="65"/>
      <c r="G35" s="92"/>
      <c r="H35" s="67">
        <f t="shared" si="1"/>
        <v>0</v>
      </c>
      <c r="I35" s="70" t="str">
        <f t="shared" si="2"/>
        <v/>
      </c>
      <c r="J35" s="82"/>
      <c r="K35" s="70" t="str">
        <f t="shared" si="3"/>
        <v/>
      </c>
      <c r="L35" s="71"/>
      <c r="M35" s="83" t="str">
        <f t="shared" si="4"/>
        <v/>
      </c>
      <c r="N35" s="84" t="s">
        <v>28</v>
      </c>
      <c r="O35" s="85" t="str">
        <f t="shared" si="5"/>
        <v/>
      </c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</row>
    <row r="36" ht="15.75" customHeight="1">
      <c r="A36" s="76">
        <f t="shared" si="6"/>
        <v>27</v>
      </c>
      <c r="B36" s="90"/>
      <c r="C36" s="91"/>
      <c r="D36" s="91"/>
      <c r="E36" s="93"/>
      <c r="F36" s="65"/>
      <c r="G36" s="92"/>
      <c r="H36" s="67">
        <f t="shared" si="1"/>
        <v>0</v>
      </c>
      <c r="I36" s="70" t="str">
        <f t="shared" si="2"/>
        <v/>
      </c>
      <c r="J36" s="82"/>
      <c r="K36" s="70" t="str">
        <f t="shared" si="3"/>
        <v/>
      </c>
      <c r="L36" s="71"/>
      <c r="M36" s="83" t="str">
        <f t="shared" si="4"/>
        <v/>
      </c>
      <c r="N36" s="84" t="s">
        <v>28</v>
      </c>
      <c r="O36" s="85" t="str">
        <f t="shared" si="5"/>
        <v/>
      </c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</row>
    <row r="37" ht="15.75" customHeight="1">
      <c r="A37" s="76">
        <f t="shared" si="6"/>
        <v>28</v>
      </c>
      <c r="B37" s="90"/>
      <c r="C37" s="91"/>
      <c r="D37" s="91"/>
      <c r="E37" s="93"/>
      <c r="F37" s="65"/>
      <c r="G37" s="92"/>
      <c r="H37" s="67">
        <f t="shared" si="1"/>
        <v>0</v>
      </c>
      <c r="I37" s="70" t="str">
        <f t="shared" si="2"/>
        <v/>
      </c>
      <c r="J37" s="82"/>
      <c r="K37" s="70" t="str">
        <f t="shared" si="3"/>
        <v/>
      </c>
      <c r="L37" s="71"/>
      <c r="M37" s="83" t="str">
        <f t="shared" si="4"/>
        <v/>
      </c>
      <c r="N37" s="84" t="s">
        <v>28</v>
      </c>
      <c r="O37" s="85" t="str">
        <f t="shared" si="5"/>
        <v/>
      </c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</row>
    <row r="38" ht="15.75" customHeight="1">
      <c r="A38" s="76">
        <f t="shared" si="6"/>
        <v>29</v>
      </c>
      <c r="B38" s="90"/>
      <c r="C38" s="91"/>
      <c r="D38" s="91"/>
      <c r="E38" s="93"/>
      <c r="F38" s="65"/>
      <c r="G38" s="92"/>
      <c r="H38" s="67">
        <f t="shared" si="1"/>
        <v>0</v>
      </c>
      <c r="I38" s="70" t="str">
        <f t="shared" si="2"/>
        <v/>
      </c>
      <c r="J38" s="82"/>
      <c r="K38" s="70" t="str">
        <f t="shared" si="3"/>
        <v/>
      </c>
      <c r="L38" s="71"/>
      <c r="M38" s="83" t="str">
        <f t="shared" si="4"/>
        <v/>
      </c>
      <c r="N38" s="84" t="s">
        <v>28</v>
      </c>
      <c r="O38" s="85" t="str">
        <f t="shared" si="5"/>
        <v/>
      </c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</row>
    <row r="39" ht="15.75" customHeight="1">
      <c r="A39" s="99">
        <f t="shared" si="6"/>
        <v>30</v>
      </c>
      <c r="B39" s="100"/>
      <c r="C39" s="101"/>
      <c r="D39" s="101"/>
      <c r="E39" s="102"/>
      <c r="F39" s="103"/>
      <c r="G39" s="104"/>
      <c r="H39" s="67">
        <f t="shared" si="1"/>
        <v>0</v>
      </c>
      <c r="I39" s="105" t="str">
        <f t="shared" si="2"/>
        <v/>
      </c>
      <c r="J39" s="106"/>
      <c r="K39" s="105" t="str">
        <f t="shared" si="3"/>
        <v/>
      </c>
      <c r="L39" s="107"/>
      <c r="M39" s="108" t="str">
        <f t="shared" si="4"/>
        <v/>
      </c>
      <c r="N39" s="109" t="s">
        <v>28</v>
      </c>
      <c r="O39" s="110" t="str">
        <f t="shared" si="5"/>
        <v/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</row>
    <row r="40" ht="15.75" customHeight="1">
      <c r="A40" s="1"/>
      <c r="B40" s="1"/>
      <c r="C40" s="1"/>
      <c r="D40" s="1"/>
      <c r="G40" s="111" t="s">
        <v>56</v>
      </c>
      <c r="H40" s="112">
        <f>SUM(H10:H39)</f>
        <v>256043.12</v>
      </c>
      <c r="I40" s="113"/>
      <c r="J40" s="113" t="s">
        <v>57</v>
      </c>
      <c r="K40" s="114">
        <f>SUMIF(N10:N39,"Comprado",H10:H39 )</f>
        <v>0</v>
      </c>
      <c r="L40" s="113"/>
    </row>
    <row r="41" ht="15.75" customHeight="1">
      <c r="A41" s="115"/>
      <c r="G41" s="116"/>
      <c r="H41" s="113"/>
      <c r="I41" s="113"/>
      <c r="J41" s="113"/>
      <c r="K41" s="113"/>
      <c r="L41" s="113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E34:F34"/>
    <mergeCell ref="E35:F35"/>
    <mergeCell ref="E36:F36"/>
    <mergeCell ref="E37:F37"/>
    <mergeCell ref="E38:F38"/>
    <mergeCell ref="E39:F39"/>
    <mergeCell ref="E25:F25"/>
    <mergeCell ref="E27:F27"/>
    <mergeCell ref="E28:F28"/>
    <mergeCell ref="E29:F29"/>
    <mergeCell ref="E31:F31"/>
    <mergeCell ref="E32:F32"/>
    <mergeCell ref="E33:F33"/>
    <mergeCell ref="A2:O2"/>
    <mergeCell ref="A4:B6"/>
    <mergeCell ref="C4:D6"/>
    <mergeCell ref="E4:H4"/>
    <mergeCell ref="I4:O5"/>
    <mergeCell ref="E5:F5"/>
    <mergeCell ref="G5:H5"/>
    <mergeCell ref="I6:O6"/>
    <mergeCell ref="K8:K9"/>
    <mergeCell ref="L8:L9"/>
    <mergeCell ref="M8:M9"/>
    <mergeCell ref="N8:N9"/>
    <mergeCell ref="G7:G9"/>
    <mergeCell ref="H7:H9"/>
    <mergeCell ref="I7:I9"/>
    <mergeCell ref="J7:K7"/>
    <mergeCell ref="L7:M7"/>
    <mergeCell ref="N7:O7"/>
    <mergeCell ref="J8:J9"/>
    <mergeCell ref="O8:O9"/>
    <mergeCell ref="E6:F6"/>
    <mergeCell ref="G6:H6"/>
    <mergeCell ref="A7:A9"/>
    <mergeCell ref="B7:B9"/>
    <mergeCell ref="C7:C9"/>
    <mergeCell ref="D7:D9"/>
    <mergeCell ref="E7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E24:F24"/>
  </mergeCells>
  <dataValidations>
    <dataValidation type="list" allowBlank="1" showErrorMessage="1" sqref="N10:N39">
      <formula1>"Presupuestando,Comprado,Entregado"</formula1>
    </dataValidation>
  </dataValidations>
  <hyperlinks>
    <hyperlink r:id="rId1" ref="E10"/>
    <hyperlink r:id="rId2" ref="E11"/>
    <hyperlink r:id="rId3" ref="E12"/>
    <hyperlink r:id="rId4" ref="E18"/>
    <hyperlink r:id="rId5" ref="E22"/>
  </hyperlinks>
  <drawing r:id="rId6"/>
</worksheet>
</file>